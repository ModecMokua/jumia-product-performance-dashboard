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OneDrive\LUXDEVHQ\LUXDEVHQ\WEEK 2\"/>
    </mc:Choice>
  </mc:AlternateContent>
  <bookViews>
    <workbookView xWindow="0" yWindow="0" windowWidth="20490" windowHeight="7530" tabRatio="588" activeTab="3"/>
  </bookViews>
  <sheets>
    <sheet name="Original" sheetId="2" r:id="rId1"/>
    <sheet name="Excel_jumia (2)" sheetId="13" state="hidden" r:id="rId2"/>
    <sheet name="Excel_jumia" sheetId="1" r:id="rId3"/>
    <sheet name="Reviews by rating" sheetId="16" r:id="rId4"/>
    <sheet name="Averages" sheetId="4" r:id="rId5"/>
    <sheet name="Effect of Discount on Reviews" sheetId="10" r:id="rId6"/>
    <sheet name="Rating Breakdown" sheetId="5" r:id="rId7"/>
    <sheet name="Dashboard" sheetId="18" r:id="rId8"/>
    <sheet name="Highest Discounted Products" sheetId="8" r:id="rId9"/>
    <sheet name="Most reviewed Products" sheetId="9" r:id="rId10"/>
  </sheets>
  <definedNames>
    <definedName name="_xlnm._FilterDatabase" localSheetId="2" hidden="1">Excel_jumia!$A$1:$K$111</definedName>
    <definedName name="_xlnm._FilterDatabase" localSheetId="1" hidden="1">'Excel_jumia (2)'!$A$1:$I$111</definedName>
    <definedName name="Slicer_Discount_Category">#N/A</definedName>
    <definedName name="Slicer_Rating">#N/A</definedName>
    <definedName name="Slicer_Rating_Category">#N/A</definedName>
    <definedName name="Slicer_Review">#N/A</definedName>
  </definedNames>
  <calcPr calcId="162913"/>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16" i="13" l="1"/>
  <c r="B117" i="13"/>
  <c r="I110" i="13"/>
  <c r="H110" i="13"/>
  <c r="G110" i="13"/>
  <c r="I109" i="13"/>
  <c r="H109" i="13"/>
  <c r="G109" i="13"/>
  <c r="I108" i="13"/>
  <c r="H108" i="13"/>
  <c r="G108" i="13"/>
  <c r="I107" i="13"/>
  <c r="H107" i="13"/>
  <c r="G107" i="13"/>
  <c r="I106" i="13"/>
  <c r="H106" i="13"/>
  <c r="G106" i="13"/>
  <c r="I105" i="13"/>
  <c r="H105" i="13"/>
  <c r="G105" i="13"/>
  <c r="I104" i="13"/>
  <c r="H104" i="13"/>
  <c r="G104" i="13"/>
  <c r="I103" i="13"/>
  <c r="H103" i="13"/>
  <c r="G103" i="13"/>
  <c r="I102" i="13"/>
  <c r="H102" i="13"/>
  <c r="G102" i="13"/>
  <c r="I101" i="13"/>
  <c r="H101" i="13"/>
  <c r="G101" i="13"/>
  <c r="I100" i="13"/>
  <c r="H100" i="13"/>
  <c r="G100" i="13"/>
  <c r="I99" i="13"/>
  <c r="H99" i="13"/>
  <c r="G99" i="13"/>
  <c r="I98" i="13"/>
  <c r="H98" i="13"/>
  <c r="G98" i="13"/>
  <c r="I97" i="13"/>
  <c r="H97" i="13"/>
  <c r="G97" i="13"/>
  <c r="I96" i="13"/>
  <c r="H96" i="13"/>
  <c r="G96" i="13"/>
  <c r="I95" i="13"/>
  <c r="H95" i="13"/>
  <c r="G95" i="13"/>
  <c r="I94" i="13"/>
  <c r="H94" i="13"/>
  <c r="G94" i="13"/>
  <c r="I93" i="13"/>
  <c r="H93" i="13"/>
  <c r="G93" i="13"/>
  <c r="I92" i="13"/>
  <c r="H92" i="13"/>
  <c r="G92" i="13"/>
  <c r="I91" i="13"/>
  <c r="H91" i="13"/>
  <c r="G91" i="13"/>
  <c r="I90" i="13"/>
  <c r="H90" i="13"/>
  <c r="G90" i="13"/>
  <c r="I89" i="13"/>
  <c r="H89" i="13"/>
  <c r="G89" i="13"/>
  <c r="I88" i="13"/>
  <c r="H88" i="13"/>
  <c r="G88" i="13"/>
  <c r="I87" i="13"/>
  <c r="H87" i="13"/>
  <c r="G87" i="13"/>
  <c r="I86" i="13"/>
  <c r="H86" i="13"/>
  <c r="G86" i="13"/>
  <c r="I85" i="13"/>
  <c r="H85" i="13"/>
  <c r="G85" i="13"/>
  <c r="I84" i="13"/>
  <c r="H84" i="13"/>
  <c r="G84" i="13"/>
  <c r="I83" i="13"/>
  <c r="H83" i="13"/>
  <c r="G83" i="13"/>
  <c r="I82" i="13"/>
  <c r="H82" i="13"/>
  <c r="G82" i="13"/>
  <c r="I81" i="13"/>
  <c r="H81" i="13"/>
  <c r="G81" i="13"/>
  <c r="I80" i="13"/>
  <c r="H80" i="13"/>
  <c r="G80" i="13"/>
  <c r="I79" i="13"/>
  <c r="H79" i="13"/>
  <c r="G79" i="13"/>
  <c r="I78" i="13"/>
  <c r="H78" i="13"/>
  <c r="G78" i="13"/>
  <c r="I77" i="13"/>
  <c r="H77" i="13"/>
  <c r="G77" i="13"/>
  <c r="I76" i="13"/>
  <c r="H76" i="13"/>
  <c r="G76" i="13"/>
  <c r="I75" i="13"/>
  <c r="H75" i="13"/>
  <c r="G75" i="13"/>
  <c r="I74" i="13"/>
  <c r="H74" i="13"/>
  <c r="G74" i="13"/>
  <c r="I73" i="13"/>
  <c r="H73" i="13"/>
  <c r="G73" i="13"/>
  <c r="I72" i="13"/>
  <c r="H72" i="13"/>
  <c r="G72" i="13"/>
  <c r="I71" i="13"/>
  <c r="H71" i="13"/>
  <c r="G71" i="13"/>
  <c r="I70" i="13"/>
  <c r="H70" i="13"/>
  <c r="G70" i="13"/>
  <c r="I69" i="13"/>
  <c r="H69" i="13"/>
  <c r="G69" i="13"/>
  <c r="I68" i="13"/>
  <c r="H68" i="13"/>
  <c r="G68" i="13"/>
  <c r="I67" i="13"/>
  <c r="H67" i="13"/>
  <c r="G67" i="13"/>
  <c r="I66" i="13"/>
  <c r="H66" i="13"/>
  <c r="G66" i="13"/>
  <c r="I65" i="13"/>
  <c r="H65" i="13"/>
  <c r="G65" i="13"/>
  <c r="I64" i="13"/>
  <c r="H64" i="13"/>
  <c r="G64" i="13"/>
  <c r="I63" i="13"/>
  <c r="H63" i="13"/>
  <c r="G63" i="13"/>
  <c r="I62" i="13"/>
  <c r="H62" i="13"/>
  <c r="G62" i="13"/>
  <c r="I61" i="13"/>
  <c r="H61" i="13"/>
  <c r="G61" i="13"/>
  <c r="I60" i="13"/>
  <c r="H60" i="13"/>
  <c r="G60" i="13"/>
  <c r="I59" i="13"/>
  <c r="H59" i="13"/>
  <c r="G59" i="13"/>
  <c r="I58" i="13"/>
  <c r="H58" i="13"/>
  <c r="G58" i="13"/>
  <c r="I57" i="13"/>
  <c r="H57" i="13"/>
  <c r="G57" i="13"/>
  <c r="I56" i="13"/>
  <c r="H56" i="13"/>
  <c r="G56" i="13"/>
  <c r="I55" i="13"/>
  <c r="H55" i="13"/>
  <c r="G55" i="13"/>
  <c r="I54" i="13"/>
  <c r="H54" i="13"/>
  <c r="G54" i="13"/>
  <c r="I53" i="13"/>
  <c r="H53" i="13"/>
  <c r="G53" i="13"/>
  <c r="I52" i="13"/>
  <c r="H52" i="13"/>
  <c r="G52" i="13"/>
  <c r="I51" i="13"/>
  <c r="H51" i="13"/>
  <c r="G51" i="13"/>
  <c r="I50" i="13"/>
  <c r="H50" i="13"/>
  <c r="G50" i="13"/>
  <c r="I49" i="13"/>
  <c r="H49" i="13"/>
  <c r="G49" i="13"/>
  <c r="I48" i="13"/>
  <c r="H48" i="13"/>
  <c r="G48" i="13"/>
  <c r="I47" i="13"/>
  <c r="H47" i="13"/>
  <c r="G47" i="13"/>
  <c r="I46" i="13"/>
  <c r="H46" i="13"/>
  <c r="G46" i="13"/>
  <c r="I45" i="13"/>
  <c r="H45" i="13"/>
  <c r="G45" i="13"/>
  <c r="I44" i="13"/>
  <c r="H44" i="13"/>
  <c r="G44" i="13"/>
  <c r="I43" i="13"/>
  <c r="H43" i="13"/>
  <c r="G43" i="13"/>
  <c r="I42" i="13"/>
  <c r="H42" i="13"/>
  <c r="G42" i="13"/>
  <c r="I41" i="13"/>
  <c r="H41" i="13"/>
  <c r="G41" i="13"/>
  <c r="I40" i="13"/>
  <c r="H40" i="13"/>
  <c r="G40" i="13"/>
  <c r="I39" i="13"/>
  <c r="H39" i="13"/>
  <c r="G39" i="13"/>
  <c r="I38" i="13"/>
  <c r="H38" i="13"/>
  <c r="G38" i="13"/>
  <c r="I37" i="13"/>
  <c r="H37" i="13"/>
  <c r="G37" i="13"/>
  <c r="I36" i="13"/>
  <c r="H36" i="13"/>
  <c r="G36" i="13"/>
  <c r="I35" i="13"/>
  <c r="H35" i="13"/>
  <c r="G35" i="13"/>
  <c r="I34" i="13"/>
  <c r="H34" i="13"/>
  <c r="G34" i="13"/>
  <c r="I33" i="13"/>
  <c r="H33" i="13"/>
  <c r="G33" i="13"/>
  <c r="I32" i="13"/>
  <c r="H32" i="13"/>
  <c r="G32" i="13"/>
  <c r="I31" i="13"/>
  <c r="H31" i="13"/>
  <c r="G31" i="13"/>
  <c r="I30" i="13"/>
  <c r="H30" i="13"/>
  <c r="G30" i="13"/>
  <c r="I29" i="13"/>
  <c r="H29" i="13"/>
  <c r="G29" i="13"/>
  <c r="I28" i="13"/>
  <c r="H28" i="13"/>
  <c r="G28" i="13"/>
  <c r="I27" i="13"/>
  <c r="H27" i="13"/>
  <c r="G27" i="13"/>
  <c r="I26" i="13"/>
  <c r="H26" i="13"/>
  <c r="G26" i="13"/>
  <c r="I25" i="13"/>
  <c r="H25" i="13"/>
  <c r="G25" i="13"/>
  <c r="I24" i="13"/>
  <c r="H24" i="13"/>
  <c r="G24" i="13"/>
  <c r="I23" i="13"/>
  <c r="H23" i="13"/>
  <c r="G23" i="13"/>
  <c r="I22" i="13"/>
  <c r="H22" i="13"/>
  <c r="G22" i="13"/>
  <c r="I21" i="13"/>
  <c r="H21" i="13"/>
  <c r="G21" i="13"/>
  <c r="I20" i="13"/>
  <c r="H20" i="13"/>
  <c r="G20" i="13"/>
  <c r="I19" i="13"/>
  <c r="H19" i="13"/>
  <c r="G19" i="13"/>
  <c r="I18" i="13"/>
  <c r="H18" i="13"/>
  <c r="G18" i="13"/>
  <c r="I17" i="13"/>
  <c r="H17" i="13"/>
  <c r="G17" i="13"/>
  <c r="I16" i="13"/>
  <c r="H16" i="13"/>
  <c r="G16" i="13"/>
  <c r="I15" i="13"/>
  <c r="H15" i="13"/>
  <c r="G15" i="13"/>
  <c r="I14" i="13"/>
  <c r="H14" i="13"/>
  <c r="G14" i="13"/>
  <c r="I13" i="13"/>
  <c r="H13" i="13"/>
  <c r="G13" i="13"/>
  <c r="I12" i="13"/>
  <c r="H12" i="13"/>
  <c r="G12" i="13"/>
  <c r="I11" i="13"/>
  <c r="H11" i="13"/>
  <c r="G11" i="13"/>
  <c r="I10" i="13"/>
  <c r="H10" i="13"/>
  <c r="G10" i="13"/>
  <c r="I9" i="13"/>
  <c r="H9" i="13"/>
  <c r="G9" i="13"/>
  <c r="I8" i="13"/>
  <c r="H8" i="13"/>
  <c r="G8" i="13"/>
  <c r="I7" i="13"/>
  <c r="H7" i="13"/>
  <c r="G7" i="13"/>
  <c r="I6" i="13"/>
  <c r="H6" i="13"/>
  <c r="G6" i="13"/>
  <c r="I5" i="13"/>
  <c r="H5" i="13"/>
  <c r="G5" i="13"/>
  <c r="I4" i="13"/>
  <c r="H4" i="13"/>
  <c r="G4" i="13"/>
  <c r="I3" i="13"/>
  <c r="H3" i="13"/>
  <c r="G3" i="13"/>
  <c r="I2" i="13"/>
  <c r="H2" i="13"/>
  <c r="G2" i="13"/>
  <c r="XFB46" i="13" l="1"/>
  <c r="I17" i="1"/>
  <c r="I9" i="1"/>
  <c r="I32" i="1"/>
  <c r="I44" i="1"/>
  <c r="I15" i="1"/>
  <c r="I3" i="1"/>
  <c r="I48" i="1"/>
  <c r="I40" i="1"/>
  <c r="I41" i="1"/>
  <c r="I24" i="1"/>
  <c r="I6" i="1"/>
  <c r="I23" i="1"/>
  <c r="I36" i="1"/>
  <c r="I27" i="1"/>
  <c r="I50" i="1"/>
  <c r="I52" i="1"/>
  <c r="I46" i="1"/>
  <c r="I43" i="1"/>
  <c r="I5" i="1"/>
  <c r="I20" i="1"/>
  <c r="I61" i="1"/>
  <c r="I35" i="1"/>
  <c r="I16" i="1"/>
  <c r="I29" i="1"/>
  <c r="I4" i="1"/>
  <c r="I21" i="1"/>
  <c r="I19" i="1"/>
  <c r="I10" i="1"/>
  <c r="I59" i="1"/>
  <c r="I28" i="1"/>
  <c r="I22" i="1"/>
  <c r="I26" i="1"/>
  <c r="I11" i="1"/>
  <c r="I8" i="1"/>
  <c r="I53" i="1"/>
  <c r="I51" i="1"/>
  <c r="I7" i="1"/>
  <c r="I47" i="1"/>
  <c r="I60" i="1"/>
  <c r="I83" i="1"/>
  <c r="I90" i="1"/>
  <c r="I84" i="1"/>
  <c r="I106" i="1"/>
  <c r="I65" i="1"/>
  <c r="I77" i="1"/>
  <c r="I74" i="1"/>
  <c r="I72" i="1"/>
  <c r="I87" i="1"/>
  <c r="I88" i="1"/>
  <c r="I105" i="1"/>
  <c r="I100" i="1"/>
  <c r="I104" i="1"/>
  <c r="I79" i="1"/>
  <c r="I85" i="1"/>
  <c r="I75" i="1"/>
  <c r="I71" i="1"/>
  <c r="I64" i="1"/>
  <c r="I37" i="1"/>
  <c r="I25" i="1"/>
  <c r="I18" i="1"/>
  <c r="I2" i="1"/>
  <c r="I14" i="1"/>
  <c r="I13" i="1"/>
  <c r="I34" i="1"/>
  <c r="I31" i="1"/>
  <c r="I39" i="1"/>
  <c r="I12" i="1"/>
  <c r="I42" i="1"/>
  <c r="I38" i="1"/>
  <c r="I45" i="1"/>
  <c r="I33" i="1"/>
  <c r="I30" i="1"/>
  <c r="I73" i="1"/>
  <c r="I80" i="1"/>
  <c r="I101" i="1"/>
  <c r="I94" i="1"/>
  <c r="I54" i="1"/>
  <c r="I56" i="1"/>
  <c r="I68" i="1"/>
  <c r="I108" i="1"/>
  <c r="I58" i="1"/>
  <c r="I92" i="1"/>
  <c r="I89" i="1"/>
  <c r="I98" i="1"/>
  <c r="I93" i="1"/>
  <c r="I82" i="1"/>
  <c r="I67" i="1"/>
  <c r="I62" i="1"/>
  <c r="I99" i="1"/>
  <c r="I69" i="1"/>
  <c r="I63" i="1"/>
  <c r="I97" i="1"/>
  <c r="I107" i="1"/>
  <c r="I91" i="1"/>
  <c r="I95" i="1"/>
  <c r="I81" i="1"/>
  <c r="I70" i="1"/>
  <c r="I55" i="1"/>
  <c r="I66" i="1"/>
  <c r="I110" i="1"/>
  <c r="I102" i="1"/>
  <c r="I78" i="1"/>
  <c r="I76" i="1"/>
  <c r="I103" i="1"/>
  <c r="I109" i="1"/>
  <c r="I86" i="1"/>
  <c r="I57" i="1"/>
  <c r="I96" i="1"/>
  <c r="I49" i="1"/>
  <c r="G17" i="1"/>
  <c r="G9" i="1"/>
  <c r="G32" i="1"/>
  <c r="G44" i="1"/>
  <c r="G15" i="1"/>
  <c r="G3" i="1"/>
  <c r="G48" i="1"/>
  <c r="G40" i="1"/>
  <c r="G41" i="1"/>
  <c r="G24" i="1"/>
  <c r="G6" i="1"/>
  <c r="G23" i="1"/>
  <c r="G36" i="1"/>
  <c r="G27" i="1"/>
  <c r="G50" i="1"/>
  <c r="G52" i="1"/>
  <c r="G46" i="1"/>
  <c r="G43" i="1"/>
  <c r="G5" i="1"/>
  <c r="G20" i="1"/>
  <c r="G61" i="1"/>
  <c r="G35" i="1"/>
  <c r="G16" i="1"/>
  <c r="G29" i="1"/>
  <c r="G4" i="1"/>
  <c r="G21" i="1"/>
  <c r="G19" i="1"/>
  <c r="G10" i="1"/>
  <c r="G59" i="1"/>
  <c r="G28" i="1"/>
  <c r="G22" i="1"/>
  <c r="G26" i="1"/>
  <c r="G11" i="1"/>
  <c r="G8" i="1"/>
  <c r="G53" i="1"/>
  <c r="G51" i="1"/>
  <c r="G7" i="1"/>
  <c r="G47" i="1"/>
  <c r="G60" i="1"/>
  <c r="G83" i="1"/>
  <c r="G90" i="1"/>
  <c r="G84" i="1"/>
  <c r="G106" i="1"/>
  <c r="G65" i="1"/>
  <c r="G77" i="1"/>
  <c r="G74" i="1"/>
  <c r="G72" i="1"/>
  <c r="G87" i="1"/>
  <c r="G88" i="1"/>
  <c r="G105" i="1"/>
  <c r="G100" i="1"/>
  <c r="G104" i="1"/>
  <c r="G79" i="1"/>
  <c r="G85" i="1"/>
  <c r="G75" i="1"/>
  <c r="G71" i="1"/>
  <c r="G64" i="1"/>
  <c r="G37" i="1"/>
  <c r="G25" i="1"/>
  <c r="G18" i="1"/>
  <c r="G2" i="1"/>
  <c r="G14" i="1"/>
  <c r="G13" i="1"/>
  <c r="G34" i="1"/>
  <c r="G31" i="1"/>
  <c r="G39" i="1"/>
  <c r="G12" i="1"/>
  <c r="G42" i="1"/>
  <c r="G38" i="1"/>
  <c r="G45" i="1"/>
  <c r="G33" i="1"/>
  <c r="G30" i="1"/>
  <c r="G73" i="1"/>
  <c r="G80" i="1"/>
  <c r="G101" i="1"/>
  <c r="G94" i="1"/>
  <c r="G54" i="1"/>
  <c r="G56" i="1"/>
  <c r="G68" i="1"/>
  <c r="G108" i="1"/>
  <c r="G58" i="1"/>
  <c r="G92" i="1"/>
  <c r="G89" i="1"/>
  <c r="G98" i="1"/>
  <c r="G93" i="1"/>
  <c r="G82" i="1"/>
  <c r="G67" i="1"/>
  <c r="G62" i="1"/>
  <c r="G99" i="1"/>
  <c r="G69" i="1"/>
  <c r="G63" i="1"/>
  <c r="G97" i="1"/>
  <c r="G107" i="1"/>
  <c r="G91" i="1"/>
  <c r="G95" i="1"/>
  <c r="G81" i="1"/>
  <c r="G70" i="1"/>
  <c r="G55" i="1"/>
  <c r="G66" i="1"/>
  <c r="G110" i="1"/>
  <c r="G102" i="1"/>
  <c r="G78" i="1"/>
  <c r="G76" i="1"/>
  <c r="G103" i="1"/>
  <c r="G109" i="1"/>
  <c r="G86" i="1"/>
  <c r="G57" i="1"/>
  <c r="G96" i="1"/>
  <c r="G49" i="1"/>
  <c r="H84" i="1"/>
  <c r="H87" i="1"/>
  <c r="H85" i="1"/>
  <c r="H71" i="1"/>
  <c r="H69" i="1"/>
  <c r="H17" i="1"/>
  <c r="H9" i="1"/>
  <c r="H32" i="1"/>
  <c r="H44" i="1"/>
  <c r="H15" i="1"/>
  <c r="H3" i="1"/>
  <c r="H48" i="1"/>
  <c r="H40" i="1"/>
  <c r="H41" i="1"/>
  <c r="H24" i="1"/>
  <c r="H6" i="1"/>
  <c r="H23" i="1"/>
  <c r="H36" i="1"/>
  <c r="H27" i="1"/>
  <c r="H50" i="1"/>
  <c r="H52" i="1"/>
  <c r="H46" i="1"/>
  <c r="H43" i="1"/>
  <c r="H5" i="1"/>
  <c r="H20" i="1"/>
  <c r="H61" i="1"/>
  <c r="H35" i="1"/>
  <c r="H16" i="1"/>
  <c r="H29" i="1"/>
  <c r="H4" i="1"/>
  <c r="H21" i="1"/>
  <c r="H19" i="1"/>
  <c r="H10" i="1"/>
  <c r="H59" i="1"/>
  <c r="H28" i="1"/>
  <c r="H22" i="1"/>
  <c r="H26" i="1"/>
  <c r="H11" i="1"/>
  <c r="H8" i="1"/>
  <c r="H53" i="1"/>
  <c r="H51" i="1"/>
  <c r="H7" i="1"/>
  <c r="H47" i="1"/>
  <c r="H60" i="1"/>
  <c r="H83" i="1"/>
  <c r="H90" i="1"/>
  <c r="H106" i="1"/>
  <c r="H65" i="1"/>
  <c r="H77" i="1"/>
  <c r="H74" i="1"/>
  <c r="H72" i="1"/>
  <c r="H88" i="1"/>
  <c r="H105" i="1"/>
  <c r="H100" i="1"/>
  <c r="H104" i="1"/>
  <c r="H79" i="1"/>
  <c r="H75" i="1"/>
  <c r="H64" i="1"/>
  <c r="H37" i="1"/>
  <c r="H25" i="1"/>
  <c r="H18" i="1"/>
  <c r="H2" i="1"/>
  <c r="H14" i="1"/>
  <c r="H13" i="1"/>
  <c r="H34" i="1"/>
  <c r="H31" i="1"/>
  <c r="H39" i="1"/>
  <c r="H12" i="1"/>
  <c r="H42" i="1"/>
  <c r="H38" i="1"/>
  <c r="H45" i="1"/>
  <c r="H33" i="1"/>
  <c r="H30" i="1"/>
  <c r="H73" i="1"/>
  <c r="H80" i="1"/>
  <c r="H101" i="1"/>
  <c r="H94" i="1"/>
  <c r="H54" i="1"/>
  <c r="H56" i="1"/>
  <c r="H68" i="1"/>
  <c r="H108" i="1"/>
  <c r="H58" i="1"/>
  <c r="H92" i="1"/>
  <c r="H89" i="1"/>
  <c r="H98" i="1"/>
  <c r="H93" i="1"/>
  <c r="H82" i="1"/>
  <c r="H67" i="1"/>
  <c r="H62" i="1"/>
  <c r="H99" i="1"/>
  <c r="H63" i="1"/>
  <c r="H97" i="1"/>
  <c r="H107" i="1"/>
  <c r="H91" i="1"/>
  <c r="H95" i="1"/>
  <c r="H81" i="1"/>
  <c r="H70" i="1"/>
  <c r="H55" i="1"/>
  <c r="H66" i="1"/>
  <c r="H110" i="1"/>
  <c r="H102" i="1"/>
  <c r="H78" i="1"/>
  <c r="H76" i="1"/>
  <c r="H103" i="1"/>
  <c r="H109" i="1"/>
  <c r="H86" i="1"/>
  <c r="H57" i="1"/>
  <c r="H96" i="1"/>
  <c r="H49" i="1"/>
  <c r="B116" i="1" l="1"/>
  <c r="B117" i="1"/>
  <c r="XFD46" i="1"/>
</calcChain>
</file>

<file path=xl/sharedStrings.xml><?xml version="1.0" encoding="utf-8"?>
<sst xmlns="http://schemas.openxmlformats.org/spreadsheetml/2006/main" count="755" uniqueCount="355">
  <si>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</si>
  <si>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</si>
  <si>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</si>
  <si>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</si>
  <si>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</si>
  <si>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</si>
  <si>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</si>
  <si>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</si>
  <si>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</si>
  <si>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</si>
  <si>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</si>
  <si>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</si>
  <si>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</si>
  <si>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</si>
  <si>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</si>
  <si>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</si>
  <si>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</si>
  <si>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</si>
  <si>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</si>
  <si>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</si>
  <si>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</si>
  <si>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</si>
  <si>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</si>
  <si>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</si>
  <si>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</si>
  <si>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</si>
  <si>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</si>
  <si>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</si>
  <si>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</si>
  <si>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</si>
  <si>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</si>
  <si>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</si>
  <si>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</si>
  <si>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</si>
  <si>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</si>
  <si>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</si>
  <si>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</si>
  <si>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</si>
  <si>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</si>
  <si>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</si>
  <si>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</si>
  <si>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</si>
  <si>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</si>
  <si>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</si>
  <si>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</si>
  <si>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</si>
  <si>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</si>
  <si>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</si>
  <si>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</si>
  <si>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</si>
  <si>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</si>
  <si>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</si>
  <si>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</si>
  <si>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</si>
  <si>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</si>
  <si>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</si>
  <si>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</si>
  <si>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</si>
  <si>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</si>
  <si>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</si>
  <si>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</si>
  <si>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</si>
  <si>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</si>
  <si>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</si>
  <si>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</si>
  <si>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</si>
  <si>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</si>
  <si>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</si>
  <si>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</si>
  <si>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</si>
  <si>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</si>
  <si>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</si>
  <si>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</si>
  <si>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</si>
  <si>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</si>
  <si>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</si>
  <si>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</si>
  <si>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</si>
  <si>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</si>
  <si>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</si>
  <si>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</si>
  <si>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</si>
  <si>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</si>
  <si>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</si>
  <si>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</si>
  <si>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</si>
  <si>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</si>
  <si>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</si>
  <si>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</si>
  <si>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</si>
  <si>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</si>
  <si>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</si>
  <si>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</si>
  <si>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</si>
  <si>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</si>
  <si>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</si>
  <si>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</si>
  <si>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</si>
  <si>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</si>
  <si>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</si>
  <si>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</si>
  <si>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</si>
  <si>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</si>
  <si>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</si>
  <si>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</si>
  <si>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</si>
  <si>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</si>
  <si>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</si>
  <si>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</si>
  <si>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</si>
  <si>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</si>
  <si>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</si>
  <si>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</si>
  <si>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</si>
  <si>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</si>
  <si>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</si>
  <si>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</si>
  <si>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</si>
  <si>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</si>
  <si>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</si>
  <si>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</si>
  <si>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</si>
  <si>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</si>
  <si>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</si>
  <si>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</si>
  <si>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</si>
  <si>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</si>
  <si>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</si>
  <si>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</si>
  <si>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</si>
  <si>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</si>
  <si>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</si>
  <si>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</si>
  <si>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</si>
  <si>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</si>
  <si>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</si>
  <si>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</si>
  <si>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</si>
  <si>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</si>
  <si>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</si>
  <si>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</si>
  <si>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</si>
  <si>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</si>
  <si>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</si>
  <si>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</si>
  <si>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</si>
  <si>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</si>
  <si>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</si>
  <si>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</si>
  <si>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</si>
  <si>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</si>
  <si>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</si>
  <si>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</si>
  <si>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</si>
  <si>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</si>
  <si>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</si>
  <si>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</si>
  <si>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</si>
  <si>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</si>
  <si>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</si>
  <si>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</si>
  <si>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</si>
  <si>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</si>
  <si>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</si>
  <si>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</si>
  <si>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</si>
  <si>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</si>
  <si>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</si>
  <si>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</si>
  <si>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</si>
  <si>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</si>
  <si>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</si>
  <si>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</si>
  <si>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</si>
  <si>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</si>
  <si>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</si>
  <si>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</si>
  <si>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</si>
  <si>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</si>
  <si>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</si>
  <si>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</si>
  <si>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</si>
  <si>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</si>
  <si>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</si>
  <si>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</si>
  <si>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</si>
  <si>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</si>
  <si>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</si>
  <si>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</si>
  <si>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</si>
  <si>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</si>
  <si>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</si>
  <si>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</si>
  <si>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</si>
  <si>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</si>
  <si>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</si>
  <si>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</si>
  <si>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</si>
  <si>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</si>
  <si>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</si>
  <si>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</si>
  <si>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</si>
  <si>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</si>
  <si>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</si>
  <si>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</si>
  <si>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</si>
  <si>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</si>
  <si>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</si>
  <si>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</si>
  <si>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</si>
  <si>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</si>
  <si>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</si>
  <si>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</si>
  <si>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</si>
  <si>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</si>
  <si>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</si>
  <si>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</si>
  <si>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</si>
  <si>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</si>
  <si>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</si>
  <si>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</si>
  <si>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</si>
  <si>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</si>
  <si>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</si>
  <si>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</si>
  <si>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</si>
  <si>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</si>
  <si>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</si>
  <si>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</si>
  <si>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</si>
  <si>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</si>
  <si>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</si>
  <si>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</si>
  <si>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</si>
  <si>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</si>
  <si>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</si>
  <si>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</si>
  <si>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</si>
  <si>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</si>
  <si>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</si>
  <si>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</si>
  <si>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</si>
  <si>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</si>
  <si>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</si>
  <si>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</si>
  <si>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</si>
  <si>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</si>
  <si>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</si>
  <si>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</si>
  <si>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</si>
  <si>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</si>
  <si>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</si>
  <si>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</si>
  <si>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</si>
  <si>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</si>
  <si>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</si>
  <si>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</si>
  <si>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</si>
  <si>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</si>
  <si>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</si>
  <si>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</si>
  <si>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</si>
  <si>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</si>
  <si>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</si>
  <si>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</si>
  <si>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</si>
  <si>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</si>
  <si>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</si>
  <si>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</si>
  <si>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</si>
  <si>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</si>
  <si>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</si>
  <si>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</si>
  <si>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</si>
  <si>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</si>
  <si>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</si>
  <si>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</si>
  <si>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</si>
  <si>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</si>
  <si>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</si>
  <si>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</si>
  <si>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</si>
  <si>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</si>
  <si>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</si>
  <si>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</si>
  <si>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</si>
  <si>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</si>
  <si>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</si>
  <si>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</si>
  <si>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</si>
  <si>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</si>
  <si>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</si>
  <si>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</si>
  <si>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</si>
  <si>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</si>
  <si>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</si>
  <si>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</si>
  <si>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</si>
  <si>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</si>
  <si>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</si>
  <si>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</si>
  <si>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</si>
  <si>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</si>
  <si>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</si>
  <si>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</si>
  <si>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</si>
  <si>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</si>
  <si>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</si>
  <si>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</si>
  <si>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</si>
  <si>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</si>
  <si>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</si>
  <si>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</si>
  <si>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</si>
  <si>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</si>
  <si>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</si>
  <si>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</si>
  <si>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</si>
  <si>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</si>
  <si>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</si>
  <si>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</si>
  <si>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</si>
  <si>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</si>
  <si>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t>
  </si>
  <si>
    <t>Discount Category</t>
  </si>
  <si>
    <t>Discount Amount</t>
  </si>
  <si>
    <t xml:space="preserve">Rating Category </t>
  </si>
  <si>
    <t>MAX</t>
  </si>
  <si>
    <t>MIN</t>
  </si>
  <si>
    <t>Row Labels</t>
  </si>
  <si>
    <t>Grand Total</t>
  </si>
  <si>
    <t>High</t>
  </si>
  <si>
    <t>Low</t>
  </si>
  <si>
    <t>Medium</t>
  </si>
  <si>
    <t>Average of Rating</t>
  </si>
  <si>
    <t>Average of Discount</t>
  </si>
  <si>
    <t>Average of Discount Amount</t>
  </si>
  <si>
    <t>Average</t>
  </si>
  <si>
    <t>Excellent</t>
  </si>
  <si>
    <t>N/A</t>
  </si>
  <si>
    <t>Poor</t>
  </si>
  <si>
    <t>Count of Product</t>
  </si>
  <si>
    <t>Count of Review</t>
  </si>
  <si>
    <t>0.01-0.11</t>
  </si>
  <si>
    <t>0.11-0.21</t>
  </si>
  <si>
    <t>0.21-0.31</t>
  </si>
  <si>
    <t>0.31-0.41</t>
  </si>
  <si>
    <t>0.41-0.51</t>
  </si>
  <si>
    <t>0.51-0.61</t>
  </si>
  <si>
    <t>0.61-0.71</t>
  </si>
  <si>
    <t>Discount Percentages</t>
  </si>
  <si>
    <t>Column1</t>
  </si>
  <si>
    <t>Column2</t>
  </si>
  <si>
    <t>Sum of Review</t>
  </si>
  <si>
    <t>Na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</si>
</sst>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KES]\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9" fontId="0" fillId="0" borderId="0" xfId="0" applyNumberFormat="1"/>
    <xf numFmtId="0" fontId="16" fillId="0" borderId="0" xfId="0" applyFont="1"/>
    <xf numFmtId="164" fontId="0" fillId="0" borderId="0" xfId="0" applyNumberFormat="1"/>
    <xf numFmtId="1" fontId="16" fillId="0" borderId="0" xfId="0" applyNumberFormat="1" applyFont="1"/>
    <xf numFmtId="1"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applyAlignment="1">
      <alignment horizontal="left"/>
    </xf>
    <xf numFmtId="10" fontId="0" fillId="0" borderId="0" xfId="0" pivotButton="1" applyNumberFormat="1"/>
    <xf numFmtId="0" fontId="0" fillId="0" borderId="10" xfId="0" applyFont="1" applyBorder="1"/>
    <xf numFmtId="164" fontId="0" fillId="0" borderId="11" xfId="0" applyNumberFormat="1" applyFont="1" applyBorder="1"/>
    <xf numFmtId="1" fontId="0" fillId="0" borderId="11" xfId="0" applyNumberFormat="1" applyFont="1" applyBorder="1"/>
    <xf numFmtId="0" fontId="0" fillId="0" borderId="11" xfId="0" applyFont="1" applyBorder="1"/>
    <xf numFmtId="164" fontId="16" fillId="0" borderId="0" xfId="0" applyNumberFormat="1" applyFont="1"/>
    <xf numFmtId="9" fontId="16" fillId="0" borderId="0" xfId="0" applyNumberFormat="1" applyFont="1"/>
    <xf numFmtId="9" fontId="0" fillId="0" borderId="11" xfId="0" applyNumberFormat="1" applyFont="1" applyBorder="1"/>
    <xf numFmtId="0" fontId="0" fillId="0" borderId="13" xfId="0" applyFont="1" applyBorder="1"/>
    <xf numFmtId="164" fontId="0" fillId="0" borderId="12" xfId="0" applyNumberFormat="1" applyFont="1" applyBorder="1"/>
    <xf numFmtId="10" fontId="0" fillId="0" borderId="12" xfId="0" applyNumberFormat="1" applyFont="1" applyBorder="1"/>
    <xf numFmtId="1" fontId="0" fillId="0" borderId="12" xfId="0" applyNumberFormat="1" applyFont="1" applyBorder="1"/>
    <xf numFmtId="0" fontId="0" fillId="0" borderId="12" xfId="0" applyFont="1" applyBorder="1"/>
    <xf numFmtId="0" fontId="0" fillId="0" borderId="14" xfId="0" applyFont="1" applyBorder="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border outline="0">
        <bottom style="thin">
          <color theme="4" tint="0.39997558519241921"/>
        </bottom>
      </border>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.xlsx]Reviews by rating!PivotTable3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F0000"/>
                </a:solidFill>
              </a:rPr>
              <a:t>Reviews</a:t>
            </a:r>
            <a:r>
              <a:rPr lang="en-US" b="1" u="sng" baseline="0">
                <a:solidFill>
                  <a:srgbClr val="FF0000"/>
                </a:solidFill>
              </a:rPr>
              <a:t> by Rating</a:t>
            </a:r>
            <a:endParaRPr lang="en-US" b="1" u="sng">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'Reviews by rating'!$B$3</c:f>
              <c:strCache>
                <c:ptCount val="1"/>
                <c:pt idx="0">
                  <c:v>Total</c:v>
                </c:pt>
              </c:strCache>
            </c:strRef>
          </c:tx>
          <c:spPr>
            <a:solidFill>
              <a:schemeClr val="accent1"/>
            </a:solidFill>
            <a:ln>
              <a:noFill/>
            </a:ln>
            <a:effectLst/>
          </c:spPr>
          <c:cat>
            <c:strRef>
              <c:f>'Reviews by rating'!$A$4:$A$27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Na ( )</c:v>
                </c:pt>
              </c:strCache>
            </c:strRef>
          </c:cat>
          <c:val>
            <c:numRef>
              <c:f>'Reviews by rating'!$B$4:$B$27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extLst>
            <c:ext xmlns:c16="http://schemas.microsoft.com/office/drawing/2014/chart" uri="{C3380CC4-5D6E-409C-BE32-E72D297353CC}">
              <c16:uniqueId val="{00000000-3C44-4ADF-B9B3-3982C4FCA658}"/>
            </c:ext>
          </c:extLst>
        </c:ser>
        <c:dLbls>
          <c:showLegendKey val="0"/>
          <c:showVal val="0"/>
          <c:showCatName val="0"/>
          <c:showSerName val="0"/>
          <c:showPercent val="0"/>
          <c:showBubbleSize val="0"/>
        </c:dLbls>
        <c:axId val="1280012895"/>
        <c:axId val="1280016223"/>
      </c:areaChart>
      <c:catAx>
        <c:axId val="1280012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016223"/>
        <c:crosses val="autoZero"/>
        <c:auto val="1"/>
        <c:lblAlgn val="ctr"/>
        <c:lblOffset val="100"/>
        <c:noMultiLvlLbl val="0"/>
      </c:catAx>
      <c:valAx>
        <c:axId val="128001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012895"/>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.xlsx]Effect of Discount on Reviews!PivotTable5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F0000"/>
                </a:solidFill>
              </a:rPr>
              <a:t>Effect</a:t>
            </a:r>
            <a:r>
              <a:rPr lang="en-US" b="1" u="sng" baseline="0">
                <a:solidFill>
                  <a:srgbClr val="FF0000"/>
                </a:solidFill>
              </a:rPr>
              <a:t> of Discount on Reviews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'Effect of Discount on Reviews'!$B$3</c:f>
              <c:strCache>
                <c:ptCount val="1"/>
                <c:pt idx="0">
                  <c:v>Total</c:v>
                </c:pt>
              </c:strCache>
            </c:strRef>
          </c:tx>
          <c:spPr>
            <a:ln w="28575" cap="rnd">
              <a:solidFill>
                <a:schemeClr val="accent1"/>
              </a:solidFill>
              <a:round/>
            </a:ln>
            <a:effectLst/>
          </c:spPr>
          <c:marker>
            <c:symbol val="none"/>
          </c:marker>
          <c:cat>
            <c:strRef>
              <c:f>'Effect of Discount on Reviews'!$A$4:$A$11</c:f>
              <c:strCache>
                <c:ptCount val="7"/>
                <c:pt idx="0">
                  <c:v>0.01-0.11</c:v>
                </c:pt>
                <c:pt idx="1">
                  <c:v>0.11-0.21</c:v>
                </c:pt>
                <c:pt idx="2">
                  <c:v>0.21-0.31</c:v>
                </c:pt>
                <c:pt idx="3">
                  <c:v>0.31-0.41</c:v>
                </c:pt>
                <c:pt idx="4">
                  <c:v>0.41-0.51</c:v>
                </c:pt>
                <c:pt idx="5">
                  <c:v>0.51-0.61</c:v>
                </c:pt>
                <c:pt idx="6">
                  <c:v>0.61-0.71</c:v>
                </c:pt>
              </c:strCache>
            </c:strRef>
          </c:cat>
          <c:val>
            <c:numRef>
              <c:f>'Effect of Discount on Reviews'!$B$4:$B$11</c:f>
              <c:numCache>
                <c:formatCode>General</c:formatCode>
                <c:ptCount val="7"/>
                <c:pt idx="0">
                  <c:v>12</c:v>
                </c:pt>
                <c:pt idx="1">
                  <c:v>7</c:v>
                </c:pt>
                <c:pt idx="2">
                  <c:v>13</c:v>
                </c:pt>
                <c:pt idx="3">
                  <c:v>19</c:v>
                </c:pt>
                <c:pt idx="4">
                  <c:v>48</c:v>
                </c:pt>
                <c:pt idx="5">
                  <c:v>9</c:v>
                </c:pt>
                <c:pt idx="6">
                  <c:v>2</c:v>
                </c:pt>
              </c:numCache>
            </c:numRef>
          </c:val>
          <c:smooth val="0"/>
          <c:extLst>
            <c:ext xmlns:c16="http://schemas.microsoft.com/office/drawing/2014/chart" uri="{C3380CC4-5D6E-409C-BE32-E72D297353CC}">
              <c16:uniqueId val="{00000000-EE67-4BFF-9EB3-E6DDA00B6F91}"/>
            </c:ext>
          </c:extLst>
        </c:ser>
        <c:dLbls>
          <c:showLegendKey val="0"/>
          <c:showVal val="0"/>
          <c:showCatName val="0"/>
          <c:showSerName val="0"/>
          <c:showPercent val="0"/>
          <c:showBubbleSize val="0"/>
        </c:dLbls>
        <c:smooth val="0"/>
        <c:axId val="135889247"/>
        <c:axId val="135892159"/>
      </c:lineChart>
      <c:catAx>
        <c:axId val="13588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2159"/>
        <c:crosses val="autoZero"/>
        <c:auto val="1"/>
        <c:lblAlgn val="ctr"/>
        <c:lblOffset val="100"/>
        <c:noMultiLvlLbl val="0"/>
      </c:catAx>
      <c:valAx>
        <c:axId val="13589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892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.xlsx]Rating Breakdown!PivotTable3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F0000"/>
                </a:solidFill>
              </a:rPr>
              <a:t>Product distribution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doughnutChart>
        <c:varyColors val="1"/>
        <c:ser>
          <c:idx val="0"/>
          <c:order val="0"/>
          <c:tx>
            <c:strRef>
              <c:f>'Rating Breakdown'!$B$3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5AF-4CC9-9B9B-9239E0E36C3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5AF-4CC9-9B9B-9239E0E36C3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5AF-4CC9-9B9B-9239E0E36C36}"/>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45AF-4CC9-9B9B-9239E0E36C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 Breakdown'!$A$4:$A$8</c:f>
              <c:strCache>
                <c:ptCount val="4"/>
                <c:pt idx="0">
                  <c:v>Average</c:v>
                </c:pt>
                <c:pt idx="1">
                  <c:v>Excellent</c:v>
                </c:pt>
                <c:pt idx="2">
                  <c:v>N/A</c:v>
                </c:pt>
                <c:pt idx="3">
                  <c:v>Poor</c:v>
                </c:pt>
              </c:strCache>
            </c:strRef>
          </c:cat>
          <c:val>
            <c:numRef>
              <c:f>'Rating Breakdown'!$B$4:$B$8</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0-E63C-4008-A2C5-EE322F9FCC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.xlsx]Effect of Discount on Reviews!PivotTable5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F0000"/>
                </a:solidFill>
              </a:rPr>
              <a:t>Effect</a:t>
            </a:r>
            <a:r>
              <a:rPr lang="en-US" b="1" u="sng" baseline="0">
                <a:solidFill>
                  <a:srgbClr val="FF0000"/>
                </a:solidFill>
              </a:rPr>
              <a:t> of Discount on Reviews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'Effect of Discount on Reviews'!$B$3</c:f>
              <c:strCache>
                <c:ptCount val="1"/>
                <c:pt idx="0">
                  <c:v>Total</c:v>
                </c:pt>
              </c:strCache>
            </c:strRef>
          </c:tx>
          <c:spPr>
            <a:ln w="28575" cap="rnd">
              <a:solidFill>
                <a:schemeClr val="accent1"/>
              </a:solidFill>
              <a:round/>
            </a:ln>
            <a:effectLst/>
          </c:spPr>
          <c:marker>
            <c:symbol val="none"/>
          </c:marker>
          <c:cat>
            <c:strRef>
              <c:f>'Effect of Discount on Reviews'!$A$4:$A$11</c:f>
              <c:strCache>
                <c:ptCount val="7"/>
                <c:pt idx="0">
                  <c:v>0.01-0.11</c:v>
                </c:pt>
                <c:pt idx="1">
                  <c:v>0.11-0.21</c:v>
                </c:pt>
                <c:pt idx="2">
                  <c:v>0.21-0.31</c:v>
                </c:pt>
                <c:pt idx="3">
                  <c:v>0.31-0.41</c:v>
                </c:pt>
                <c:pt idx="4">
                  <c:v>0.41-0.51</c:v>
                </c:pt>
                <c:pt idx="5">
                  <c:v>0.51-0.61</c:v>
                </c:pt>
                <c:pt idx="6">
                  <c:v>0.61-0.71</c:v>
                </c:pt>
              </c:strCache>
            </c:strRef>
          </c:cat>
          <c:val>
            <c:numRef>
              <c:f>'Effect of Discount on Reviews'!$B$4:$B$11</c:f>
              <c:numCache>
                <c:formatCode>General</c:formatCode>
                <c:ptCount val="7"/>
                <c:pt idx="0">
                  <c:v>12</c:v>
                </c:pt>
                <c:pt idx="1">
                  <c:v>7</c:v>
                </c:pt>
                <c:pt idx="2">
                  <c:v>13</c:v>
                </c:pt>
                <c:pt idx="3">
                  <c:v>19</c:v>
                </c:pt>
                <c:pt idx="4">
                  <c:v>48</c:v>
                </c:pt>
                <c:pt idx="5">
                  <c:v>9</c:v>
                </c:pt>
                <c:pt idx="6">
                  <c:v>2</c:v>
                </c:pt>
              </c:numCache>
            </c:numRef>
          </c:val>
          <c:smooth val="0"/>
          <c:extLst>
            <c:ext xmlns:c16="http://schemas.microsoft.com/office/drawing/2014/chart" uri="{C3380CC4-5D6E-409C-BE32-E72D297353CC}">
              <c16:uniqueId val="{00000000-E332-4075-891F-BEBC248E6B33}"/>
            </c:ext>
          </c:extLst>
        </c:ser>
        <c:dLbls>
          <c:showLegendKey val="0"/>
          <c:showVal val="0"/>
          <c:showCatName val="0"/>
          <c:showSerName val="0"/>
          <c:showPercent val="0"/>
          <c:showBubbleSize val="0"/>
        </c:dLbls>
        <c:smooth val="0"/>
        <c:axId val="135889247"/>
        <c:axId val="135892159"/>
      </c:lineChart>
      <c:catAx>
        <c:axId val="13588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2159"/>
        <c:crosses val="autoZero"/>
        <c:auto val="1"/>
        <c:lblAlgn val="ctr"/>
        <c:lblOffset val="100"/>
        <c:noMultiLvlLbl val="0"/>
      </c:catAx>
      <c:valAx>
        <c:axId val="13589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892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.xlsx]Reviews by rating!PivotTable3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F0000"/>
                </a:solidFill>
              </a:rPr>
              <a:t>Reviews</a:t>
            </a:r>
            <a:r>
              <a:rPr lang="en-US" b="1" u="sng" baseline="0">
                <a:solidFill>
                  <a:srgbClr val="FF0000"/>
                </a:solidFill>
              </a:rPr>
              <a:t> by Rating</a:t>
            </a:r>
            <a:endParaRPr lang="en-US" b="1" u="sng">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'Reviews by rating'!$B$3</c:f>
              <c:strCache>
                <c:ptCount val="1"/>
                <c:pt idx="0">
                  <c:v>Total</c:v>
                </c:pt>
              </c:strCache>
            </c:strRef>
          </c:tx>
          <c:spPr>
            <a:solidFill>
              <a:schemeClr val="accent1"/>
            </a:solidFill>
            <a:ln>
              <a:noFill/>
            </a:ln>
            <a:effectLst/>
          </c:spPr>
          <c:cat>
            <c:strRef>
              <c:f>'Reviews by rating'!$A$4:$A$27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Na ( )</c:v>
                </c:pt>
              </c:strCache>
            </c:strRef>
          </c:cat>
          <c:val>
            <c:numRef>
              <c:f>'Reviews by rating'!$B$4:$B$27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extLst>
            <c:ext xmlns:c16="http://schemas.microsoft.com/office/drawing/2014/chart" uri="{C3380CC4-5D6E-409C-BE32-E72D297353CC}">
              <c16:uniqueId val="{00000000-0096-49FB-94C6-A9A604F4B83A}"/>
            </c:ext>
          </c:extLst>
        </c:ser>
        <c:dLbls>
          <c:showLegendKey val="0"/>
          <c:showVal val="0"/>
          <c:showCatName val="0"/>
          <c:showSerName val="0"/>
          <c:showPercent val="0"/>
          <c:showBubbleSize val="0"/>
        </c:dLbls>
        <c:axId val="1280012895"/>
        <c:axId val="1280016223"/>
      </c:areaChart>
      <c:catAx>
        <c:axId val="1280012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016223"/>
        <c:crosses val="autoZero"/>
        <c:auto val="1"/>
        <c:lblAlgn val="ctr"/>
        <c:lblOffset val="100"/>
        <c:noMultiLvlLbl val="0"/>
      </c:catAx>
      <c:valAx>
        <c:axId val="128001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012895"/>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.xlsx]Rating Breakdown!PivotTable3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F0000"/>
                </a:solidFill>
              </a:rPr>
              <a:t>Product distribution by rating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s>
    <c:plotArea>
      <c:layout/>
      <c:doughnutChart>
        <c:varyColors val="1"/>
        <c:ser>
          <c:idx val="0"/>
          <c:order val="0"/>
          <c:tx>
            <c:strRef>
              <c:f>'Rating Breakdown'!$B$3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7D7-4B9E-8FDD-73D349B9404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7D7-4B9E-8FDD-73D349B9404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7D7-4B9E-8FDD-73D349B9404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17D7-4B9E-8FDD-73D349B9404F}"/>
              </c:ext>
            </c:extLst>
          </c:dPt>
          <c:dLbls>
            <c:delete val="1"/>
          </c:dLbls>
          <c:cat>
            <c:strRef>
              <c:f>'Rating Breakdown'!$A$4:$A$8</c:f>
              <c:strCache>
                <c:ptCount val="4"/>
                <c:pt idx="0">
                  <c:v>Average</c:v>
                </c:pt>
                <c:pt idx="1">
                  <c:v>Excellent</c:v>
                </c:pt>
                <c:pt idx="2">
                  <c:v>N/A</c:v>
                </c:pt>
                <c:pt idx="3">
                  <c:v>Poor</c:v>
                </c:pt>
              </c:strCache>
            </c:strRef>
          </c:cat>
          <c:val>
            <c:numRef>
              <c:f>'Rating Breakdown'!$B$4:$B$8</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8-17D7-4B9E-8FDD-73D349B940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338137</xdr:colOff>
      <xdr:row>6</xdr:row>
      <xdr:rowOff>152400</xdr:rowOff>
    </xdr:from>
    <xdr:to>
      <xdr:col>11</xdr:col>
      <xdr:colOff>33337</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485775</xdr:colOff>
      <xdr:row>6</xdr:row>
      <xdr:rowOff>152400</xdr:rowOff>
    </xdr:from>
    <xdr:to>
      <xdr:col>14</xdr:col>
      <xdr:colOff>485775</xdr:colOff>
      <xdr:row>20</xdr:row>
      <xdr:rowOff>9525</xdr:rowOff>
    </xdr:to>
    <mc:AlternateContent xmlns:mc="http://schemas.openxmlformats.org/markup-compatibility/2006" xmlns:a14="http://schemas.microsoft.com/office/drawing/2010/main">
      <mc:Choice Requires="a14">
        <xdr:graphicFrame macro="">
          <xdr:nvGraphicFramePr>
            <xdr:cNvPr id="3" name="Review"/>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7800975" y="1295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6</xdr:row>
      <xdr:rowOff>76200</xdr:rowOff>
    </xdr:from>
    <xdr:to>
      <xdr:col>17</xdr:col>
      <xdr:colOff>457200</xdr:colOff>
      <xdr:row>19</xdr:row>
      <xdr:rowOff>123825</xdr:rowOff>
    </xdr:to>
    <mc:AlternateContent xmlns:mc="http://schemas.openxmlformats.org/markup-compatibility/2006" xmlns:a14="http://schemas.microsoft.com/office/drawing/2010/main">
      <mc:Choice Requires="a14">
        <xdr:graphicFrame macro="">
          <xdr:nvGraphicFramePr>
            <xdr:cNvPr id="4"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9601200" y="1219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947737</xdr:colOff>
      <xdr:row>4</xdr:row>
      <xdr:rowOff>123825</xdr:rowOff>
    </xdr:from>
    <xdr:to>
      <xdr:col>10</xdr:col>
      <xdr:colOff>300037</xdr:colOff>
      <xdr:row>19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361950</xdr:colOff>
      <xdr:row>11</xdr:row>
      <xdr:rowOff>152400</xdr:rowOff>
    </xdr:from>
    <xdr:to>
      <xdr:col>3</xdr:col>
      <xdr:colOff>190500</xdr:colOff>
      <xdr:row>25</xdr:row>
      <xdr:rowOff>9525</xdr:rowOff>
    </xdr:to>
    <mc:AlternateContent xmlns:mc="http://schemas.openxmlformats.org/markup-compatibility/2006" xmlns:a14="http://schemas.microsoft.com/office/drawing/2010/main">
      <mc:Choice Requires="a14">
        <xdr:graphicFrame macro="">
          <xdr:nvGraphicFramePr>
            <xdr:cNvPr id="3" name="Rating Category "/>
            <xdr:cNvGraphicFramePr/>
          </xdr:nvGraphicFramePr>
          <xdr:xfrm>
            <a:off x="0" y="0"/>
            <a:ext cx="0" cy="0"/>
          </xdr:xfrm>
          <a:graphic>
            <a:graphicData uri="http://schemas.microsoft.com/office/drawing/2010/slicer">
              <sle:slicer xmlns:sle="http://schemas.microsoft.com/office/drawing/2010/slicer" name="Rating Category "/>
            </a:graphicData>
          </a:graphic>
        </xdr:graphicFrame>
      </mc:Choice>
      <mc:Fallback xmlns="">
        <xdr:sp macro="" textlink="">
          <xdr:nvSpPr>
            <xdr:cNvPr id="0" name=""/>
            <xdr:cNvSpPr>
              <a:spLocks noTextEdit="1"/>
            </xdr:cNvSpPr>
          </xdr:nvSpPr>
          <xdr:spPr>
            <a:xfrm>
              <a:off x="1866900" y="2247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114300</xdr:rowOff>
    </xdr:from>
    <xdr:to>
      <xdr:col>1</xdr:col>
      <xdr:colOff>323850</xdr:colOff>
      <xdr:row>24</xdr:row>
      <xdr:rowOff>161925</xdr:rowOff>
    </xdr:to>
    <mc:AlternateContent xmlns:mc="http://schemas.openxmlformats.org/markup-compatibility/2006" xmlns:a14="http://schemas.microsoft.com/office/drawing/2010/main">
      <mc:Choice Requires="a14">
        <xdr:graphicFrame macro="">
          <xdr:nvGraphicFramePr>
            <xdr:cNvPr id="4"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0" y="2209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319087</xdr:colOff>
      <xdr:row>6</xdr:row>
      <xdr:rowOff>152400</xdr:rowOff>
    </xdr:from>
    <xdr:to>
      <xdr:col>11</xdr:col>
      <xdr:colOff>14287</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409575</xdr:colOff>
      <xdr:row>4</xdr:row>
      <xdr:rowOff>104775</xdr:rowOff>
    </xdr:from>
    <xdr:to>
      <xdr:col>5</xdr:col>
      <xdr:colOff>581025</xdr:colOff>
      <xdr:row>7</xdr:row>
      <xdr:rowOff>28575</xdr:rowOff>
    </xdr:to>
    <xdr:sp macro="" textlink="">
      <xdr:nvSpPr>
        <xdr:cNvPr id="2" name="Rounded Rectangle 1"/>
        <xdr:cNvSpPr/>
      </xdr:nvSpPr>
      <xdr:spPr>
        <a:xfrm>
          <a:off x="2238375" y="676275"/>
          <a:ext cx="1390650" cy="4953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TOTAL</a:t>
          </a:r>
          <a:r>
            <a:rPr lang="en-US" sz="1100" baseline="0">
              <a:solidFill>
                <a:schemeClr val="tx1"/>
              </a:solidFill>
            </a:rPr>
            <a:t> PRODUCTS</a:t>
          </a:r>
          <a:r>
            <a:rPr lang="en-US" sz="1100">
              <a:solidFill>
                <a:schemeClr val="tx1"/>
              </a:solidFill>
            </a:rPr>
            <a:t> = 109</a:t>
          </a:r>
        </a:p>
        <a:p>
          <a:pPr algn="l"/>
          <a:r>
            <a:rPr lang="en-US" sz="1100"/>
            <a:t> </a:t>
          </a:r>
        </a:p>
      </xdr:txBody>
    </xdr:sp>
    <xdr:clientData/>
  </xdr:twoCellAnchor>
  <xdr:twoCellAnchor>
    <xdr:from>
      <xdr:col>6</xdr:col>
      <xdr:colOff>57149</xdr:colOff>
      <xdr:row>4</xdr:row>
      <xdr:rowOff>95249</xdr:rowOff>
    </xdr:from>
    <xdr:to>
      <xdr:col>8</xdr:col>
      <xdr:colOff>9524</xdr:colOff>
      <xdr:row>7</xdr:row>
      <xdr:rowOff>47625</xdr:rowOff>
    </xdr:to>
    <xdr:sp macro="" textlink="">
      <xdr:nvSpPr>
        <xdr:cNvPr id="3" name="Rounded Rectangle 2"/>
        <xdr:cNvSpPr/>
      </xdr:nvSpPr>
      <xdr:spPr>
        <a:xfrm>
          <a:off x="3714749" y="666749"/>
          <a:ext cx="1171575" cy="52387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AVERAGE RATING= 3.89</a:t>
          </a:r>
        </a:p>
      </xdr:txBody>
    </xdr:sp>
    <xdr:clientData/>
  </xdr:twoCellAnchor>
  <xdr:twoCellAnchor>
    <xdr:from>
      <xdr:col>8</xdr:col>
      <xdr:colOff>95250</xdr:colOff>
      <xdr:row>4</xdr:row>
      <xdr:rowOff>95250</xdr:rowOff>
    </xdr:from>
    <xdr:to>
      <xdr:col>10</xdr:col>
      <xdr:colOff>400049</xdr:colOff>
      <xdr:row>7</xdr:row>
      <xdr:rowOff>66676</xdr:rowOff>
    </xdr:to>
    <xdr:sp macro="" textlink="">
      <xdr:nvSpPr>
        <xdr:cNvPr id="4" name="Rounded Rectangle 3"/>
        <xdr:cNvSpPr/>
      </xdr:nvSpPr>
      <xdr:spPr>
        <a:xfrm>
          <a:off x="4972050" y="666750"/>
          <a:ext cx="1523999" cy="54292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AVERAGE</a:t>
          </a:r>
          <a:r>
            <a:rPr lang="en-US" sz="1100" baseline="0">
              <a:solidFill>
                <a:schemeClr val="tx1"/>
              </a:solidFill>
            </a:rPr>
            <a:t> DISCOUNT= 36.39%</a:t>
          </a:r>
          <a:endParaRPr lang="en-US" sz="1100">
            <a:solidFill>
              <a:schemeClr val="tx1"/>
            </a:solidFill>
          </a:endParaRPr>
        </a:p>
      </xdr:txBody>
    </xdr:sp>
    <xdr:clientData/>
  </xdr:twoCellAnchor>
  <xdr:twoCellAnchor>
    <xdr:from>
      <xdr:col>10</xdr:col>
      <xdr:colOff>485775</xdr:colOff>
      <xdr:row>4</xdr:row>
      <xdr:rowOff>95250</xdr:rowOff>
    </xdr:from>
    <xdr:to>
      <xdr:col>12</xdr:col>
      <xdr:colOff>466725</xdr:colOff>
      <xdr:row>7</xdr:row>
      <xdr:rowOff>57150</xdr:rowOff>
    </xdr:to>
    <xdr:sp macro="" textlink="">
      <xdr:nvSpPr>
        <xdr:cNvPr id="5" name="Rounded Rectangle 4"/>
        <xdr:cNvSpPr/>
      </xdr:nvSpPr>
      <xdr:spPr>
        <a:xfrm>
          <a:off x="6581775" y="666750"/>
          <a:ext cx="1200150" cy="533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TOTAL</a:t>
          </a:r>
          <a:r>
            <a:rPr lang="en-US" sz="1100" baseline="0">
              <a:solidFill>
                <a:schemeClr val="tx1"/>
              </a:solidFill>
            </a:rPr>
            <a:t> REVIEWS=22</a:t>
          </a:r>
          <a:endParaRPr lang="en-US" sz="1100">
            <a:solidFill>
              <a:schemeClr val="tx1"/>
            </a:solidFill>
          </a:endParaRPr>
        </a:p>
      </xdr:txBody>
    </xdr:sp>
    <xdr:clientData/>
  </xdr:twoCellAnchor>
  <xdr:twoCellAnchor>
    <xdr:from>
      <xdr:col>3</xdr:col>
      <xdr:colOff>428625</xdr:colOff>
      <xdr:row>0</xdr:row>
      <xdr:rowOff>0</xdr:rowOff>
    </xdr:from>
    <xdr:to>
      <xdr:col>12</xdr:col>
      <xdr:colOff>542925</xdr:colOff>
      <xdr:row>2</xdr:row>
      <xdr:rowOff>171450</xdr:rowOff>
    </xdr:to>
    <xdr:sp macro="" textlink="">
      <xdr:nvSpPr>
        <xdr:cNvPr id="6" name="Rounded Rectangle 5"/>
        <xdr:cNvSpPr/>
      </xdr:nvSpPr>
      <xdr:spPr>
        <a:xfrm>
          <a:off x="2257425" y="0"/>
          <a:ext cx="5600700" cy="552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u="sng">
              <a:solidFill>
                <a:srgbClr val="C00000"/>
              </a:solidFill>
            </a:rPr>
            <a:t>JUMIA</a:t>
          </a:r>
          <a:r>
            <a:rPr lang="en-US" sz="3200" b="1" u="sng" baseline="0">
              <a:solidFill>
                <a:srgbClr val="C00000"/>
              </a:solidFill>
            </a:rPr>
            <a:t> PRODUCT PERFOMANCE </a:t>
          </a:r>
          <a:endParaRPr lang="en-US" sz="3200" b="1" u="sng">
            <a:solidFill>
              <a:srgbClr val="C00000"/>
            </a:solidFill>
          </a:endParaRPr>
        </a:p>
      </xdr:txBody>
    </xdr:sp>
    <xdr:clientData/>
  </xdr:twoCellAnchor>
  <xdr:twoCellAnchor>
    <xdr:from>
      <xdr:col>3</xdr:col>
      <xdr:colOff>381000</xdr:colOff>
      <xdr:row>8</xdr:row>
      <xdr:rowOff>149679</xdr:rowOff>
    </xdr:from>
    <xdr:to>
      <xdr:col>11</xdr:col>
      <xdr:colOff>73478</xdr:colOff>
      <xdr:row>23</xdr:row>
      <xdr:rowOff>35379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12</xdr:row>
      <xdr:rowOff>40822</xdr:rowOff>
    </xdr:from>
    <xdr:to>
      <xdr:col>3</xdr:col>
      <xdr:colOff>87086</xdr:colOff>
      <xdr:row>20</xdr:row>
      <xdr:rowOff>1</xdr:rowOff>
    </xdr:to>
    <mc:AlternateContent xmlns:mc="http://schemas.openxmlformats.org/markup-compatibility/2006" xmlns:a14="http://schemas.microsoft.com/office/drawing/2010/main">
      <mc:Choice Requires="a14">
        <xdr:graphicFrame macro="">
          <xdr:nvGraphicFramePr>
            <xdr:cNvPr id="8" name="Discount Category 1"/>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95250" y="2326822"/>
              <a:ext cx="1828800" cy="1483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21</xdr:row>
      <xdr:rowOff>108859</xdr:rowOff>
    </xdr:from>
    <xdr:to>
      <xdr:col>3</xdr:col>
      <xdr:colOff>87086</xdr:colOff>
      <xdr:row>30</xdr:row>
      <xdr:rowOff>176895</xdr:rowOff>
    </xdr:to>
    <mc:AlternateContent xmlns:mc="http://schemas.openxmlformats.org/markup-compatibility/2006" xmlns:a14="http://schemas.microsoft.com/office/drawing/2010/main">
      <mc:Choice Requires="a14">
        <xdr:graphicFrame macro="">
          <xdr:nvGraphicFramePr>
            <xdr:cNvPr id="9" name="Rating Category  1"/>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95250" y="4109359"/>
              <a:ext cx="1828800" cy="1782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204108</xdr:colOff>
      <xdr:row>8</xdr:row>
      <xdr:rowOff>149679</xdr:rowOff>
    </xdr:from>
    <xdr:to>
      <xdr:col>18</xdr:col>
      <xdr:colOff>489858</xdr:colOff>
      <xdr:row>23</xdr:row>
      <xdr:rowOff>35379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127240</xdr:colOff>
      <xdr:row>24</xdr:row>
      <xdr:rowOff>59918</xdr:rowOff>
    </xdr:from>
    <xdr:to>
      <xdr:col>18</xdr:col>
      <xdr:colOff>402247</xdr:colOff>
      <xdr:row>38</xdr:row>
      <xdr:rowOff>129434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568158</xdr:colOff>
      <xdr:row>24</xdr:row>
      <xdr:rowOff>142278</xdr:rowOff>
    </xdr:from>
    <xdr:to>
      <xdr:col>6</xdr:col>
      <xdr:colOff>570736</xdr:colOff>
      <xdr:row>38</xdr:row>
      <xdr:rowOff>6087</xdr:rowOff>
    </xdr:to>
    <mc:AlternateContent xmlns:mc="http://schemas.openxmlformats.org/markup-compatibility/2006" xmlns:a14="http://schemas.microsoft.com/office/drawing/2010/main">
      <mc:Choice Requires="a14">
        <xdr:graphicFrame macro="">
          <xdr:nvGraphicFramePr>
            <xdr:cNvPr id="12" name="Review 1"/>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mlns="">
        <xdr:sp macro="" textlink="">
          <xdr:nvSpPr>
            <xdr:cNvPr id="0" name=""/>
            <xdr:cNvSpPr>
              <a:spLocks noTextEdit="1"/>
            </xdr:cNvSpPr>
          </xdr:nvSpPr>
          <xdr:spPr>
            <a:xfrm>
              <a:off x="2405122" y="4714278"/>
              <a:ext cx="1839543" cy="2530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200526</xdr:colOff>
      <xdr:row>24</xdr:row>
      <xdr:rowOff>116974</xdr:rowOff>
    </xdr:from>
    <xdr:to>
      <xdr:col>10</xdr:col>
      <xdr:colOff>203105</xdr:colOff>
      <xdr:row>37</xdr:row>
      <xdr:rowOff>164600</xdr:rowOff>
    </xdr:to>
    <mc:AlternateContent xmlns:mc="http://schemas.openxmlformats.org/markup-compatibility/2006" xmlns:a14="http://schemas.microsoft.com/office/drawing/2010/main">
      <mc:Choice Requires="a14">
        <xdr:graphicFrame macro="">
          <xdr:nvGraphicFramePr>
            <xdr:cNvPr id="13" name="Rating 1"/>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4486776" y="4688974"/>
              <a:ext cx="1839543" cy="2524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xcel_jumia.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Excel_jumia.csv"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dmin" refreshedDate="46052.319649884259" createdVersion="6" refreshedVersion="6" minRefreshableVersion="3" recordCount="109">
  <cacheSource type="worksheet">
    <worksheetSource ref="A1:I111" sheet="Excel jumia cleaned" r:id="rId2"/>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10">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1">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Rating" numFmtId="0">
      <sharedItems containsMixedTypes="1" containsNumber="1" minValue="2" maxValue="5" count="23">
        <n v="4.5"/>
        <n v="4.0999999999999996"/>
        <n v="4.5999999999999996"/>
        <n v="4.7"/>
        <n v="4.8"/>
        <n v="4"/>
        <n v="3.8"/>
        <n v="4.2"/>
        <n v="5"/>
        <n v="3.3"/>
        <s v="Not Provided"/>
        <n v="4.4000000000000004"/>
        <n v="4.3"/>
        <n v="2.5"/>
        <n v="3"/>
        <n v="2.1"/>
        <n v="2.8"/>
        <n v="2.7"/>
        <n v="2.9"/>
        <n v="2.2000000000000002"/>
        <n v="2.2999999999999998"/>
        <n v="2.6"/>
        <n v="2"/>
      </sharedItems>
    </cacheField>
    <cacheField name="Rating Category " numFmtId="0">
      <sharedItems count="4">
        <s v="Excellent"/>
        <s v="Average"/>
        <s v="N/A"/>
        <s v="Poor"/>
      </sharedItems>
    </cacheField>
    <cacheField name="Discount Amount" numFmtId="164">
      <sharedItems containsSemiMixedTypes="0" containsString="0" containsNumber="1" containsInteger="1" minValue="24" maxValue="2585"/>
    </cacheField>
    <cacheField name="Discount Category" numFmtId="0">
      <sharedItems count="3">
        <s v="Medium"/>
        <s v="High"/>
        <s v="Low"/>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52.361067824073" createdVersion="6" refreshedVersion="6" minRefreshableVersion="3" recordCount="110">
  <cacheSource type="worksheet">
    <worksheetSource ref="A1:I111" sheet="Excel jumia cleaned" r:id="rId2"/>
  </cacheSource>
  <cacheFields count="9">
    <cacheField name="Product" numFmtId="0">
      <sharedItems/>
    </cacheField>
    <cacheField name="Current price" numFmtId="164">
      <sharedItems containsSemiMixedTypes="0" containsString="0" containsNumber="1" minValue="38" maxValue="3750"/>
    </cacheField>
    <cacheField name="old price" numFmtId="164">
      <sharedItems containsSemiMixedTypes="0" containsString="0" containsNumber="1" containsInteger="1" minValue="80" maxValue="6143"/>
    </cacheField>
    <cacheField name="Discount" numFmtId="10">
      <sharedItems containsSemiMixedTypes="0" containsString="0" containsNumber="1" minValue="0.01" maxValue="0.64" count="47">
        <n v="0.49"/>
        <n v="0.24"/>
        <n v="0.35"/>
        <n v="0.34"/>
        <n v="0.41"/>
        <n v="0.27"/>
        <n v="0.25"/>
        <n v="0.3"/>
        <n v="0.45"/>
        <n v="0.22"/>
        <n v="0.52"/>
        <n v="0.09"/>
        <n v="0.23"/>
        <n v="0.47"/>
        <n v="0.55000000000000004"/>
        <n v="0.32"/>
        <n v="0.53"/>
        <n v="0.18"/>
        <n v="0.2"/>
        <n v="0.54"/>
        <n v="0.48"/>
        <n v="0.33"/>
        <n v="0.35884615384615387"/>
        <n v="0.5"/>
        <n v="0.37"/>
        <n v="0.42"/>
        <n v="0.13"/>
        <n v="0.43"/>
        <n v="0.39"/>
        <n v="0.28999999999999998"/>
        <n v="0.19"/>
        <n v="0.26"/>
        <n v="0.38"/>
        <n v="0.51"/>
        <n v="0.46"/>
        <n v="0.4"/>
        <n v="0.21"/>
        <n v="0.36"/>
        <n v="0.64"/>
        <n v="0.61"/>
        <n v="0.14000000000000001"/>
        <n v="0.04"/>
        <n v="0.08"/>
        <n v="0.11"/>
        <n v="0.02"/>
        <n v="0.03"/>
        <n v="0.01"/>
      </sharedItems>
      <fieldGroup base="3">
        <rangePr startNum="0.01" endNum="0.64" groupInterval="0.1"/>
        <groupItems count="9">
          <s v="&lt;0.01"/>
          <s v="0.01-0.11"/>
          <s v="0.11-0.21"/>
          <s v="0.21-0.31"/>
          <s v="0.31-0.41"/>
          <s v="0.41-0.51"/>
          <s v="0.51-0.61"/>
          <s v="0.61-0.71"/>
          <s v="&gt;0.71"/>
        </groupItems>
      </fieldGroup>
    </cacheField>
    <cacheField name="Review" numFmtId="1">
      <sharedItems containsSemiMixedTypes="0" containsString="0" containsNumber="1" minValue="0" maxValue="69"/>
    </cacheField>
    <cacheField name="Rating" numFmtId="0">
      <sharedItems containsMixedTypes="1" containsNumber="1" minValue="2" maxValue="5" count="24">
        <n v="2.8"/>
        <n v="4.5999999999999996"/>
        <n v="4.7"/>
        <n v="4.3"/>
        <n v="4.5"/>
        <n v="4.0999999999999996"/>
        <n v="2.6"/>
        <n v="2.9"/>
        <n v="2.7"/>
        <n v="4"/>
        <n v="4.4000000000000004"/>
        <n v="2.1"/>
        <n v="3.8"/>
        <n v="3.3"/>
        <n v="4.8"/>
        <n v="3"/>
        <n v="4.2"/>
        <n v="3.934615384615384"/>
        <n v="2.2999999999999998"/>
        <n v="2.2000000000000002"/>
        <n v="2.5"/>
        <n v="5"/>
        <n v="2"/>
        <s v="Not Provided"/>
      </sharedItems>
    </cacheField>
    <cacheField name="Rating Category " numFmtId="0">
      <sharedItems containsBlank="1" count="5">
        <s v="Poor"/>
        <s v="Excellent"/>
        <s v="Average"/>
        <m/>
        <s v="N/A"/>
      </sharedItems>
    </cacheField>
    <cacheField name="Discount Amount" numFmtId="164">
      <sharedItems containsSemiMixedTypes="0" containsString="0" containsNumber="1" minValue="24" maxValue="2585"/>
    </cacheField>
    <cacheField name="Discount Category" numFmtId="0">
      <sharedItems containsBlank="1" count="4">
        <s v="High"/>
        <s v="Medium"/>
        <s v="Low"/>
        <m/>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052.983800347225" createdVersion="6" refreshedVersion="6" minRefreshableVersion="3" recordCount="109">
  <cacheSource type="worksheet">
    <worksheetSource ref="A1:I110" sheet="Excel_jumia (2)"/>
  </cacheSource>
  <cacheFields count="9">
    <cacheField name="Product" numFmtId="0">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9">
      <sharedItems containsSemiMixedTypes="0" containsString="0" containsNumber="1" minValue="0.01" maxValue="0.64" count="46">
        <n v="0.49"/>
        <n v="0.24"/>
        <n v="0.35"/>
        <n v="0.34"/>
        <n v="0.41"/>
        <n v="0.27"/>
        <n v="0.25"/>
        <n v="0.3"/>
        <n v="0.45"/>
        <n v="0.22"/>
        <n v="0.52"/>
        <n v="0.09"/>
        <n v="0.23"/>
        <n v="0.47"/>
        <n v="0.55000000000000004"/>
        <n v="0.32"/>
        <n v="0.53"/>
        <n v="0.18"/>
        <n v="0.2"/>
        <n v="0.54"/>
        <n v="0.48"/>
        <n v="0.33"/>
        <n v="0.5"/>
        <n v="0.37"/>
        <n v="0.42"/>
        <n v="0.13"/>
        <n v="0.43"/>
        <n v="0.39"/>
        <n v="0.28999999999999998"/>
        <n v="0.19"/>
        <n v="0.26"/>
        <n v="0.38"/>
        <n v="0.51"/>
        <n v="0.46"/>
        <n v="0.4"/>
        <n v="0.21"/>
        <n v="0.36"/>
        <n v="0.64"/>
        <n v="0.61"/>
        <n v="0.14000000000000001"/>
        <n v="0.04"/>
        <n v="0.08"/>
        <n v="0.11"/>
        <n v="0.02"/>
        <n v="0.03"/>
        <n v="0.01"/>
      </sharedItems>
    </cacheField>
    <cacheField name="Review" numFmtId="0">
      <sharedItems containsSemiMixedTypes="0" containsString="0" containsNumber="1" containsInteger="1" minValue="0" maxValue="69" count="24">
        <n v="69"/>
        <n v="55"/>
        <n v="49"/>
        <n v="44"/>
        <n v="39"/>
        <n v="36"/>
        <n v="32"/>
        <n v="24"/>
        <n v="20"/>
        <n v="17"/>
        <n v="16"/>
        <n v="15"/>
        <n v="14"/>
        <n v="13"/>
        <n v="12"/>
        <n v="10"/>
        <n v="9"/>
        <n v="7"/>
        <n v="6"/>
        <n v="5"/>
        <n v="3"/>
        <n v="2"/>
        <n v="1"/>
        <n v="0"/>
      </sharedItems>
    </cacheField>
    <cacheField name="Rating" numFmtId="0">
      <sharedItems containsMixedTypes="1" containsNumber="1" minValue="2" maxValue="5" count="24">
        <n v="2.8"/>
        <n v="4.5999999999999996"/>
        <n v="4.7"/>
        <n v="4.3"/>
        <n v="4.5"/>
        <n v="4.0999999999999996"/>
        <n v="2.6"/>
        <n v="2.9"/>
        <n v="2.7"/>
        <n v="4"/>
        <n v="4.4000000000000004"/>
        <n v="2.1"/>
        <n v="3.8"/>
        <n v="3.3"/>
        <n v="4.8"/>
        <n v="3"/>
        <n v="4.2"/>
        <n v="2.2999999999999998"/>
        <n v="2.2000000000000002"/>
        <n v="2.5"/>
        <n v="5"/>
        <n v="2"/>
        <s v="Na ( )"/>
        <n v="3.8889999999999998" u="1"/>
      </sharedItems>
    </cacheField>
    <cacheField name="Rating Category " numFmtId="0">
      <sharedItems/>
    </cacheField>
    <cacheField name="Discount Amount" numFmtId="0">
      <sharedItems containsSemiMixedTypes="0" containsString="0" containsNumber="1" containsInteger="1" minValue="24" maxValue="2585"/>
    </cacheField>
    <cacheField name="Discount Category" numFmtId="0">
      <sharedItems count="3">
        <s v="High"/>
        <s v="Medium"/>
        <s v="Low"/>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9">
  <r>
    <x v="0"/>
    <n v="950"/>
    <n v="1525"/>
    <x v="0"/>
    <x v="0"/>
    <x v="0"/>
    <x v="0"/>
    <n v="575"/>
    <x v="0"/>
  </r>
  <r>
    <x v="1"/>
    <n v="527"/>
    <n v="999"/>
    <x v="1"/>
    <x v="1"/>
    <x v="1"/>
    <x v="1"/>
    <n v="472"/>
    <x v="1"/>
  </r>
  <r>
    <x v="2"/>
    <n v="2199"/>
    <n v="2923"/>
    <x v="2"/>
    <x v="2"/>
    <x v="2"/>
    <x v="0"/>
    <n v="724"/>
    <x v="0"/>
  </r>
  <r>
    <x v="3"/>
    <n v="1580"/>
    <n v="2499"/>
    <x v="3"/>
    <x v="3"/>
    <x v="3"/>
    <x v="0"/>
    <n v="919"/>
    <x v="0"/>
  </r>
  <r>
    <x v="4"/>
    <n v="1740"/>
    <n v="2356"/>
    <x v="4"/>
    <x v="4"/>
    <x v="4"/>
    <x v="0"/>
    <n v="616"/>
    <x v="0"/>
  </r>
  <r>
    <x v="5"/>
    <n v="2999"/>
    <n v="3290"/>
    <x v="5"/>
    <x v="5"/>
    <x v="5"/>
    <x v="1"/>
    <n v="291"/>
    <x v="2"/>
  </r>
  <r>
    <x v="6"/>
    <n v="2319"/>
    <n v="3032"/>
    <x v="6"/>
    <x v="6"/>
    <x v="2"/>
    <x v="0"/>
    <n v="713"/>
    <x v="0"/>
  </r>
  <r>
    <x v="7"/>
    <n v="988"/>
    <n v="1580"/>
    <x v="3"/>
    <x v="0"/>
    <x v="5"/>
    <x v="1"/>
    <n v="592"/>
    <x v="0"/>
  </r>
  <r>
    <x v="8"/>
    <n v="1274"/>
    <n v="2800"/>
    <x v="7"/>
    <x v="4"/>
    <x v="4"/>
    <x v="0"/>
    <n v="1526"/>
    <x v="1"/>
  </r>
  <r>
    <x v="9"/>
    <n v="1600"/>
    <n v="2929"/>
    <x v="8"/>
    <x v="4"/>
    <x v="6"/>
    <x v="1"/>
    <n v="1329"/>
    <x v="1"/>
  </r>
  <r>
    <x v="10"/>
    <n v="799"/>
    <n v="999"/>
    <x v="9"/>
    <x v="7"/>
    <x v="1"/>
    <x v="1"/>
    <n v="200"/>
    <x v="0"/>
  </r>
  <r>
    <x v="11"/>
    <n v="990"/>
    <n v="1500"/>
    <x v="10"/>
    <x v="8"/>
    <x v="3"/>
    <x v="0"/>
    <n v="510"/>
    <x v="0"/>
  </r>
  <r>
    <x v="12"/>
    <n v="552"/>
    <n v="1035"/>
    <x v="1"/>
    <x v="7"/>
    <x v="4"/>
    <x v="0"/>
    <n v="483"/>
    <x v="1"/>
  </r>
  <r>
    <x v="13"/>
    <n v="501"/>
    <n v="860"/>
    <x v="11"/>
    <x v="9"/>
    <x v="0"/>
    <x v="0"/>
    <n v="359"/>
    <x v="1"/>
  </r>
  <r>
    <x v="14"/>
    <n v="1680"/>
    <n v="2499"/>
    <x v="12"/>
    <x v="10"/>
    <x v="7"/>
    <x v="1"/>
    <n v="819"/>
    <x v="0"/>
  </r>
  <r>
    <x v="15"/>
    <n v="332"/>
    <n v="684"/>
    <x v="13"/>
    <x v="0"/>
    <x v="8"/>
    <x v="0"/>
    <n v="352"/>
    <x v="1"/>
  </r>
  <r>
    <x v="16"/>
    <n v="195"/>
    <n v="360"/>
    <x v="14"/>
    <x v="0"/>
    <x v="8"/>
    <x v="0"/>
    <n v="165"/>
    <x v="1"/>
  </r>
  <r>
    <x v="17"/>
    <n v="2025"/>
    <n v="3971"/>
    <x v="15"/>
    <x v="11"/>
    <x v="8"/>
    <x v="0"/>
    <n v="1946"/>
    <x v="1"/>
  </r>
  <r>
    <x v="18"/>
    <n v="2999"/>
    <n v="3699"/>
    <x v="16"/>
    <x v="4"/>
    <x v="2"/>
    <x v="0"/>
    <n v="700"/>
    <x v="2"/>
  </r>
  <r>
    <x v="19"/>
    <n v="998"/>
    <n v="1966"/>
    <x v="15"/>
    <x v="12"/>
    <x v="2"/>
    <x v="0"/>
    <n v="968"/>
    <x v="1"/>
  </r>
  <r>
    <x v="20"/>
    <n v="38"/>
    <n v="80"/>
    <x v="17"/>
    <x v="13"/>
    <x v="9"/>
    <x v="1"/>
    <n v="42"/>
    <x v="1"/>
  </r>
  <r>
    <x v="21"/>
    <n v="1860"/>
    <n v="3220"/>
    <x v="11"/>
    <x v="14"/>
    <x v="10"/>
    <x v="2"/>
    <n v="1360"/>
    <x v="1"/>
  </r>
  <r>
    <x v="22"/>
    <n v="880"/>
    <n v="1350"/>
    <x v="18"/>
    <x v="9"/>
    <x v="5"/>
    <x v="1"/>
    <n v="470"/>
    <x v="0"/>
  </r>
  <r>
    <x v="23"/>
    <n v="1650"/>
    <n v="2150"/>
    <x v="19"/>
    <x v="1"/>
    <x v="11"/>
    <x v="1"/>
    <n v="500"/>
    <x v="0"/>
  </r>
  <r>
    <x v="24"/>
    <n v="2048"/>
    <n v="4500"/>
    <x v="20"/>
    <x v="3"/>
    <x v="12"/>
    <x v="1"/>
    <n v="2452"/>
    <x v="1"/>
  </r>
  <r>
    <x v="25"/>
    <n v="420"/>
    <n v="647"/>
    <x v="18"/>
    <x v="15"/>
    <x v="2"/>
    <x v="0"/>
    <n v="227"/>
    <x v="0"/>
  </r>
  <r>
    <x v="26"/>
    <n v="2880"/>
    <n v="3520"/>
    <x v="21"/>
    <x v="7"/>
    <x v="6"/>
    <x v="1"/>
    <n v="640"/>
    <x v="2"/>
  </r>
  <r>
    <x v="27"/>
    <n v="1350"/>
    <n v="1990"/>
    <x v="22"/>
    <x v="13"/>
    <x v="6"/>
    <x v="1"/>
    <n v="640"/>
    <x v="0"/>
  </r>
  <r>
    <x v="28"/>
    <n v="1758"/>
    <n v="2499"/>
    <x v="23"/>
    <x v="16"/>
    <x v="1"/>
    <x v="1"/>
    <n v="741"/>
    <x v="0"/>
  </r>
  <r>
    <x v="29"/>
    <n v="2200"/>
    <n v="4080"/>
    <x v="14"/>
    <x v="14"/>
    <x v="10"/>
    <x v="2"/>
    <n v="1880"/>
    <x v="1"/>
  </r>
  <r>
    <x v="30"/>
    <n v="185"/>
    <n v="382"/>
    <x v="24"/>
    <x v="10"/>
    <x v="12"/>
    <x v="1"/>
    <n v="197"/>
    <x v="1"/>
  </r>
  <r>
    <x v="31"/>
    <n v="980"/>
    <n v="1490"/>
    <x v="10"/>
    <x v="7"/>
    <x v="3"/>
    <x v="0"/>
    <n v="510"/>
    <x v="0"/>
  </r>
  <r>
    <x v="32"/>
    <n v="1820"/>
    <n v="3490"/>
    <x v="25"/>
    <x v="10"/>
    <x v="12"/>
    <x v="1"/>
    <n v="1670"/>
    <x v="1"/>
  </r>
  <r>
    <x v="33"/>
    <n v="1940"/>
    <n v="2650"/>
    <x v="26"/>
    <x v="16"/>
    <x v="3"/>
    <x v="0"/>
    <n v="710"/>
    <x v="0"/>
  </r>
  <r>
    <x v="34"/>
    <n v="1980"/>
    <n v="2699"/>
    <x v="26"/>
    <x v="17"/>
    <x v="0"/>
    <x v="0"/>
    <n v="719"/>
    <x v="0"/>
  </r>
  <r>
    <x v="35"/>
    <n v="1620"/>
    <n v="2690"/>
    <x v="27"/>
    <x v="18"/>
    <x v="8"/>
    <x v="0"/>
    <n v="1070"/>
    <x v="0"/>
  </r>
  <r>
    <x v="36"/>
    <n v="171"/>
    <n v="360"/>
    <x v="17"/>
    <x v="0"/>
    <x v="8"/>
    <x v="0"/>
    <n v="189"/>
    <x v="1"/>
  </r>
  <r>
    <x v="37"/>
    <n v="389"/>
    <n v="656"/>
    <x v="28"/>
    <x v="19"/>
    <x v="12"/>
    <x v="1"/>
    <n v="267"/>
    <x v="1"/>
  </r>
  <r>
    <x v="38"/>
    <n v="1800"/>
    <n v="2700"/>
    <x v="0"/>
    <x v="0"/>
    <x v="0"/>
    <x v="0"/>
    <n v="900"/>
    <x v="0"/>
  </r>
  <r>
    <x v="39"/>
    <n v="2750"/>
    <n v="4471"/>
    <x v="0"/>
    <x v="14"/>
    <x v="10"/>
    <x v="2"/>
    <n v="1721"/>
    <x v="0"/>
  </r>
  <r>
    <x v="40"/>
    <n v="475"/>
    <n v="931"/>
    <x v="15"/>
    <x v="14"/>
    <x v="10"/>
    <x v="2"/>
    <n v="456"/>
    <x v="1"/>
  </r>
  <r>
    <x v="41"/>
    <n v="238"/>
    <n v="476"/>
    <x v="29"/>
    <x v="14"/>
    <x v="10"/>
    <x v="2"/>
    <n v="238"/>
    <x v="1"/>
  </r>
  <r>
    <x v="42"/>
    <n v="610"/>
    <n v="1060"/>
    <x v="11"/>
    <x v="14"/>
    <x v="10"/>
    <x v="2"/>
    <n v="450"/>
    <x v="1"/>
  </r>
  <r>
    <x v="43"/>
    <n v="2132"/>
    <n v="2169"/>
    <x v="30"/>
    <x v="14"/>
    <x v="10"/>
    <x v="2"/>
    <n v="37"/>
    <x v="2"/>
  </r>
  <r>
    <x v="44"/>
    <n v="999"/>
    <n v="2000"/>
    <x v="29"/>
    <x v="14"/>
    <x v="10"/>
    <x v="2"/>
    <n v="1001"/>
    <x v="1"/>
  </r>
  <r>
    <x v="45"/>
    <n v="1190"/>
    <n v="1785"/>
    <x v="12"/>
    <x v="14"/>
    <x v="10"/>
    <x v="2"/>
    <n v="595"/>
    <x v="0"/>
  </r>
  <r>
    <x v="46"/>
    <n v="671"/>
    <n v="1316"/>
    <x v="15"/>
    <x v="14"/>
    <x v="10"/>
    <x v="2"/>
    <n v="645"/>
    <x v="1"/>
  </r>
  <r>
    <x v="47"/>
    <n v="1200"/>
    <n v="1950"/>
    <x v="0"/>
    <x v="14"/>
    <x v="10"/>
    <x v="2"/>
    <n v="750"/>
    <x v="0"/>
  </r>
  <r>
    <x v="48"/>
    <n v="199"/>
    <n v="504"/>
    <x v="31"/>
    <x v="14"/>
    <x v="10"/>
    <x v="2"/>
    <n v="305"/>
    <x v="1"/>
  </r>
  <r>
    <x v="49"/>
    <n v="299"/>
    <n v="600"/>
    <x v="29"/>
    <x v="14"/>
    <x v="10"/>
    <x v="2"/>
    <n v="301"/>
    <x v="1"/>
  </r>
  <r>
    <x v="50"/>
    <n v="1660"/>
    <n v="1699"/>
    <x v="30"/>
    <x v="14"/>
    <x v="10"/>
    <x v="2"/>
    <n v="39"/>
    <x v="2"/>
  </r>
  <r>
    <x v="51"/>
    <n v="299"/>
    <n v="384"/>
    <x v="32"/>
    <x v="14"/>
    <x v="10"/>
    <x v="2"/>
    <n v="85"/>
    <x v="0"/>
  </r>
  <r>
    <x v="52"/>
    <n v="1459"/>
    <n v="1499"/>
    <x v="33"/>
    <x v="14"/>
    <x v="10"/>
    <x v="2"/>
    <n v="40"/>
    <x v="2"/>
  </r>
  <r>
    <x v="53"/>
    <n v="799"/>
    <n v="1343"/>
    <x v="28"/>
    <x v="14"/>
    <x v="10"/>
    <x v="2"/>
    <n v="544"/>
    <x v="1"/>
  </r>
  <r>
    <x v="54"/>
    <n v="499"/>
    <n v="900"/>
    <x v="8"/>
    <x v="14"/>
    <x v="10"/>
    <x v="2"/>
    <n v="401"/>
    <x v="1"/>
  </r>
  <r>
    <x v="55"/>
    <n v="699"/>
    <n v="1343"/>
    <x v="25"/>
    <x v="14"/>
    <x v="10"/>
    <x v="2"/>
    <n v="644"/>
    <x v="1"/>
  </r>
  <r>
    <x v="56"/>
    <n v="799"/>
    <n v="1567"/>
    <x v="15"/>
    <x v="14"/>
    <x v="10"/>
    <x v="2"/>
    <n v="768"/>
    <x v="1"/>
  </r>
  <r>
    <x v="57"/>
    <n v="2799"/>
    <n v="3810"/>
    <x v="26"/>
    <x v="14"/>
    <x v="10"/>
    <x v="2"/>
    <n v="1011"/>
    <x v="0"/>
  </r>
  <r>
    <x v="58"/>
    <n v="2170"/>
    <n v="2500"/>
    <x v="34"/>
    <x v="9"/>
    <x v="13"/>
    <x v="3"/>
    <n v="330"/>
    <x v="2"/>
  </r>
  <r>
    <x v="59"/>
    <n v="458"/>
    <n v="986"/>
    <x v="20"/>
    <x v="20"/>
    <x v="14"/>
    <x v="1"/>
    <n v="528"/>
    <x v="1"/>
  </r>
  <r>
    <x v="60"/>
    <n v="2115"/>
    <n v="4700"/>
    <x v="7"/>
    <x v="13"/>
    <x v="15"/>
    <x v="3"/>
    <n v="2585"/>
    <x v="1"/>
  </r>
  <r>
    <x v="61"/>
    <n v="445"/>
    <n v="873"/>
    <x v="15"/>
    <x v="21"/>
    <x v="16"/>
    <x v="3"/>
    <n v="428"/>
    <x v="1"/>
  </r>
  <r>
    <x v="62"/>
    <n v="325"/>
    <n v="680"/>
    <x v="24"/>
    <x v="5"/>
    <x v="17"/>
    <x v="3"/>
    <n v="355"/>
    <x v="1"/>
  </r>
  <r>
    <x v="63"/>
    <n v="1220"/>
    <n v="1555"/>
    <x v="32"/>
    <x v="22"/>
    <x v="18"/>
    <x v="3"/>
    <n v="335"/>
    <x v="0"/>
  </r>
  <r>
    <x v="64"/>
    <n v="990"/>
    <n v="1814"/>
    <x v="8"/>
    <x v="9"/>
    <x v="19"/>
    <x v="3"/>
    <n v="824"/>
    <x v="1"/>
  </r>
  <r>
    <x v="65"/>
    <n v="1000"/>
    <n v="2000"/>
    <x v="29"/>
    <x v="3"/>
    <x v="20"/>
    <x v="3"/>
    <n v="1000"/>
    <x v="1"/>
  </r>
  <r>
    <x v="66"/>
    <n v="3750"/>
    <n v="6143"/>
    <x v="35"/>
    <x v="4"/>
    <x v="14"/>
    <x v="1"/>
    <n v="2393"/>
    <x v="0"/>
  </r>
  <r>
    <x v="67"/>
    <n v="382"/>
    <n v="700"/>
    <x v="8"/>
    <x v="23"/>
    <x v="21"/>
    <x v="3"/>
    <n v="318"/>
    <x v="1"/>
  </r>
  <r>
    <x v="68"/>
    <n v="2300"/>
    <n v="3240"/>
    <x v="36"/>
    <x v="4"/>
    <x v="14"/>
    <x v="1"/>
    <n v="940"/>
    <x v="0"/>
  </r>
  <r>
    <x v="69"/>
    <n v="345"/>
    <n v="602"/>
    <x v="37"/>
    <x v="9"/>
    <x v="20"/>
    <x v="3"/>
    <n v="257"/>
    <x v="1"/>
  </r>
  <r>
    <x v="70"/>
    <n v="509"/>
    <n v="899"/>
    <x v="37"/>
    <x v="4"/>
    <x v="14"/>
    <x v="1"/>
    <n v="390"/>
    <x v="1"/>
  </r>
  <r>
    <x v="71"/>
    <n v="968"/>
    <n v="1814"/>
    <x v="1"/>
    <x v="9"/>
    <x v="19"/>
    <x v="3"/>
    <n v="846"/>
    <x v="1"/>
  </r>
  <r>
    <x v="72"/>
    <n v="1570"/>
    <n v="2988"/>
    <x v="1"/>
    <x v="3"/>
    <x v="15"/>
    <x v="3"/>
    <n v="1418"/>
    <x v="1"/>
  </r>
  <r>
    <x v="73"/>
    <n v="790"/>
    <n v="1485"/>
    <x v="1"/>
    <x v="14"/>
    <x v="10"/>
    <x v="2"/>
    <n v="695"/>
    <x v="1"/>
  </r>
  <r>
    <x v="74"/>
    <n v="690"/>
    <n v="1200"/>
    <x v="37"/>
    <x v="14"/>
    <x v="10"/>
    <x v="2"/>
    <n v="510"/>
    <x v="1"/>
  </r>
  <r>
    <x v="75"/>
    <n v="1732"/>
    <n v="1799"/>
    <x v="38"/>
    <x v="14"/>
    <x v="10"/>
    <x v="2"/>
    <n v="67"/>
    <x v="2"/>
  </r>
  <r>
    <x v="76"/>
    <n v="230"/>
    <n v="450"/>
    <x v="15"/>
    <x v="14"/>
    <x v="10"/>
    <x v="2"/>
    <n v="220"/>
    <x v="1"/>
  </r>
  <r>
    <x v="77"/>
    <n v="1189"/>
    <n v="2199"/>
    <x v="14"/>
    <x v="18"/>
    <x v="14"/>
    <x v="1"/>
    <n v="1010"/>
    <x v="1"/>
  </r>
  <r>
    <x v="78"/>
    <n v="979"/>
    <n v="1920"/>
    <x v="15"/>
    <x v="18"/>
    <x v="8"/>
    <x v="0"/>
    <n v="941"/>
    <x v="1"/>
  </r>
  <r>
    <x v="79"/>
    <n v="1460"/>
    <n v="2290"/>
    <x v="39"/>
    <x v="14"/>
    <x v="10"/>
    <x v="2"/>
    <n v="830"/>
    <x v="0"/>
  </r>
  <r>
    <x v="80"/>
    <n v="1666"/>
    <n v="1699"/>
    <x v="30"/>
    <x v="14"/>
    <x v="10"/>
    <x v="2"/>
    <n v="33"/>
    <x v="2"/>
  </r>
  <r>
    <x v="81"/>
    <n v="330"/>
    <n v="647"/>
    <x v="15"/>
    <x v="18"/>
    <x v="5"/>
    <x v="1"/>
    <n v="317"/>
    <x v="1"/>
  </r>
  <r>
    <x v="82"/>
    <n v="1466"/>
    <n v="1699"/>
    <x v="40"/>
    <x v="14"/>
    <x v="10"/>
    <x v="2"/>
    <n v="233"/>
    <x v="2"/>
  </r>
  <r>
    <x v="83"/>
    <n v="274"/>
    <n v="537"/>
    <x v="15"/>
    <x v="14"/>
    <x v="10"/>
    <x v="2"/>
    <n v="263"/>
    <x v="1"/>
  </r>
  <r>
    <x v="84"/>
    <n v="799"/>
    <n v="900"/>
    <x v="41"/>
    <x v="14"/>
    <x v="10"/>
    <x v="2"/>
    <n v="101"/>
    <x v="2"/>
  </r>
  <r>
    <x v="85"/>
    <n v="1468"/>
    <n v="1699"/>
    <x v="40"/>
    <x v="14"/>
    <x v="10"/>
    <x v="2"/>
    <n v="231"/>
    <x v="2"/>
  </r>
  <r>
    <x v="86"/>
    <n v="630"/>
    <n v="1100"/>
    <x v="37"/>
    <x v="14"/>
    <x v="10"/>
    <x v="2"/>
    <n v="470"/>
    <x v="1"/>
  </r>
  <r>
    <x v="87"/>
    <n v="850"/>
    <n v="1700"/>
    <x v="29"/>
    <x v="14"/>
    <x v="10"/>
    <x v="2"/>
    <n v="850"/>
    <x v="1"/>
  </r>
  <r>
    <x v="88"/>
    <n v="1300"/>
    <n v="2500"/>
    <x v="25"/>
    <x v="14"/>
    <x v="10"/>
    <x v="2"/>
    <n v="1200"/>
    <x v="1"/>
  </r>
  <r>
    <x v="89"/>
    <n v="105"/>
    <n v="200"/>
    <x v="25"/>
    <x v="14"/>
    <x v="10"/>
    <x v="2"/>
    <n v="95"/>
    <x v="1"/>
  </r>
  <r>
    <x v="90"/>
    <n v="899"/>
    <n v="1699"/>
    <x v="1"/>
    <x v="14"/>
    <x v="10"/>
    <x v="2"/>
    <n v="800"/>
    <x v="1"/>
  </r>
  <r>
    <x v="91"/>
    <n v="1200"/>
    <n v="2400"/>
    <x v="29"/>
    <x v="14"/>
    <x v="10"/>
    <x v="2"/>
    <n v="1200"/>
    <x v="1"/>
  </r>
  <r>
    <x v="92"/>
    <n v="1526"/>
    <n v="1660"/>
    <x v="42"/>
    <x v="14"/>
    <x v="10"/>
    <x v="2"/>
    <n v="134"/>
    <x v="2"/>
  </r>
  <r>
    <x v="93"/>
    <n v="1462"/>
    <n v="1499"/>
    <x v="30"/>
    <x v="14"/>
    <x v="10"/>
    <x v="2"/>
    <n v="37"/>
    <x v="2"/>
  </r>
  <r>
    <x v="94"/>
    <n v="248"/>
    <n v="486"/>
    <x v="15"/>
    <x v="14"/>
    <x v="10"/>
    <x v="2"/>
    <n v="238"/>
    <x v="1"/>
  </r>
  <r>
    <x v="95"/>
    <n v="3546"/>
    <n v="3699"/>
    <x v="38"/>
    <x v="14"/>
    <x v="10"/>
    <x v="2"/>
    <n v="153"/>
    <x v="2"/>
  </r>
  <r>
    <x v="96"/>
    <n v="525"/>
    <n v="1029"/>
    <x v="15"/>
    <x v="14"/>
    <x v="10"/>
    <x v="2"/>
    <n v="504"/>
    <x v="1"/>
  </r>
  <r>
    <x v="97"/>
    <n v="1080"/>
    <n v="1874"/>
    <x v="11"/>
    <x v="14"/>
    <x v="10"/>
    <x v="2"/>
    <n v="794"/>
    <x v="1"/>
  </r>
  <r>
    <x v="98"/>
    <n v="3640"/>
    <n v="4588"/>
    <x v="43"/>
    <x v="18"/>
    <x v="8"/>
    <x v="0"/>
    <n v="948"/>
    <x v="0"/>
  </r>
  <r>
    <x v="99"/>
    <n v="1420"/>
    <n v="2420"/>
    <x v="28"/>
    <x v="14"/>
    <x v="10"/>
    <x v="2"/>
    <n v="1000"/>
    <x v="1"/>
  </r>
  <r>
    <x v="100"/>
    <n v="1875"/>
    <n v="1899"/>
    <x v="44"/>
    <x v="14"/>
    <x v="10"/>
    <x v="2"/>
    <n v="24"/>
    <x v="2"/>
  </r>
  <r>
    <x v="101"/>
    <n v="198"/>
    <n v="260"/>
    <x v="6"/>
    <x v="14"/>
    <x v="10"/>
    <x v="2"/>
    <n v="62"/>
    <x v="0"/>
  </r>
  <r>
    <x v="102"/>
    <n v="1150"/>
    <n v="1737"/>
    <x v="10"/>
    <x v="14"/>
    <x v="10"/>
    <x v="2"/>
    <n v="587"/>
    <x v="0"/>
  </r>
  <r>
    <x v="103"/>
    <n v="1190"/>
    <n v="1810"/>
    <x v="10"/>
    <x v="14"/>
    <x v="10"/>
    <x v="2"/>
    <n v="620"/>
    <x v="0"/>
  </r>
  <r>
    <x v="104"/>
    <n v="1658"/>
    <n v="1699"/>
    <x v="30"/>
    <x v="14"/>
    <x v="10"/>
    <x v="2"/>
    <n v="41"/>
    <x v="2"/>
  </r>
  <r>
    <x v="105"/>
    <n v="1768"/>
    <n v="1799"/>
    <x v="30"/>
    <x v="14"/>
    <x v="10"/>
    <x v="2"/>
    <n v="31"/>
    <x v="2"/>
  </r>
  <r>
    <x v="106"/>
    <n v="199"/>
    <n v="553"/>
    <x v="45"/>
    <x v="14"/>
    <x v="10"/>
    <x v="2"/>
    <n v="354"/>
    <x v="1"/>
  </r>
  <r>
    <x v="107"/>
    <n v="450"/>
    <n v="900"/>
    <x v="29"/>
    <x v="18"/>
    <x v="22"/>
    <x v="3"/>
    <n v="450"/>
    <x v="1"/>
  </r>
  <r>
    <x v="108"/>
    <n v="169"/>
    <n v="320"/>
    <x v="1"/>
    <x v="14"/>
    <x v="10"/>
    <x v="2"/>
    <n v="151"/>
    <x v="1"/>
  </r>
</pivotCacheRecords>
</file>

<file path=xl/pivotCache/pivotCacheRecords2.xml><?xml version="1.0" encoding="utf-8"?>
<pivotCacheRecords xmlns="http://schemas.openxmlformats.org/spreadsheetml/2006/main" xmlns:r="http://schemas.openxmlformats.org/officeDocument/2006/relationships" count="110">
  <r>
    <s v="120W Cordless Vacuum Cleaners Handheld Electric Vacuum Cleaner"/>
    <n v="445"/>
    <n v="873"/>
    <x v="0"/>
    <n v="69"/>
    <x v="0"/>
    <x v="0"/>
    <n v="428"/>
    <x v="0"/>
  </r>
  <r>
    <s v="137 Pieces Cake Decorating Tool Set Baking Supplies"/>
    <n v="2319"/>
    <n v="3032"/>
    <x v="1"/>
    <n v="55"/>
    <x v="1"/>
    <x v="1"/>
    <n v="713"/>
    <x v="1"/>
  </r>
  <r>
    <s v="Electronic Digital Display Vernier Caliper"/>
    <n v="420"/>
    <n v="647"/>
    <x v="2"/>
    <n v="49"/>
    <x v="1"/>
    <x v="1"/>
    <n v="227"/>
    <x v="1"/>
  </r>
  <r>
    <s v="3D Waterproof EVA Plastic Shower Curtain 1.8*2Mtrs"/>
    <n v="998"/>
    <n v="1966"/>
    <x v="0"/>
    <n v="44"/>
    <x v="1"/>
    <x v="1"/>
    <n v="968"/>
    <x v="0"/>
  </r>
  <r>
    <s v="100 Pcs Crochet Hook Tool Set Knitting Hook Set With Box"/>
    <n v="990"/>
    <n v="1500"/>
    <x v="3"/>
    <n v="39"/>
    <x v="2"/>
    <x v="1"/>
    <n v="510"/>
    <x v="1"/>
  </r>
  <r>
    <s v="Punch-free Great Load Bearing Bathroom Storage Rack Wall Shelf-White"/>
    <n v="389"/>
    <n v="656"/>
    <x v="4"/>
    <n v="36"/>
    <x v="3"/>
    <x v="2"/>
    <n v="267"/>
    <x v="0"/>
  </r>
  <r>
    <s v="53 Pieces/Set Yarn Knitting Crochet Hooks With Bag - Pansies"/>
    <n v="1980"/>
    <n v="2699"/>
    <x v="5"/>
    <n v="32"/>
    <x v="4"/>
    <x v="1"/>
    <n v="719"/>
    <x v="1"/>
  </r>
  <r>
    <s v="Portable Mini Cordless Car Vacuum Cleaner - Blue"/>
    <n v="2199"/>
    <n v="2923"/>
    <x v="6"/>
    <n v="24"/>
    <x v="1"/>
    <x v="1"/>
    <n v="724"/>
    <x v="1"/>
  </r>
  <r>
    <s v="52 Pieces Cake Decorating Tool Set Gift Kit Baking Supplies"/>
    <n v="1758"/>
    <n v="2499"/>
    <x v="7"/>
    <n v="20"/>
    <x v="5"/>
    <x v="2"/>
    <n v="741"/>
    <x v="1"/>
  </r>
  <r>
    <s v="53Pcs/Set Yarn Knitting Crochet Hooks With Bag - Fortune Cat"/>
    <n v="1940"/>
    <n v="2650"/>
    <x v="5"/>
    <n v="20"/>
    <x v="2"/>
    <x v="1"/>
    <n v="710"/>
    <x v="1"/>
  </r>
  <r>
    <s v="Agapeon Toothbrush Holder And Toothpaste Dispenser"/>
    <n v="382"/>
    <n v="700"/>
    <x v="8"/>
    <n v="17"/>
    <x v="6"/>
    <x v="0"/>
    <n v="318"/>
    <x v="0"/>
  </r>
  <r>
    <s v="VIC Wireless Vacuum Cleaner Dual Use For Home And Car 120W High Power Powerful"/>
    <n v="1220"/>
    <n v="1555"/>
    <x v="9"/>
    <n v="16"/>
    <x v="7"/>
    <x v="0"/>
    <n v="335"/>
    <x v="1"/>
  </r>
  <r>
    <s v="Intelligent  LED Body Sensor Wireless Lighting Night Light USB"/>
    <n v="325"/>
    <n v="680"/>
    <x v="10"/>
    <n v="15"/>
    <x v="8"/>
    <x v="0"/>
    <n v="355"/>
    <x v="0"/>
  </r>
  <r>
    <s v="220V 60W Electric Soldering Iron Kits With Tools, Tips, And Multimeter"/>
    <n v="2999"/>
    <n v="3290"/>
    <x v="11"/>
    <n v="15"/>
    <x v="9"/>
    <x v="2"/>
    <n v="291"/>
    <x v="2"/>
  </r>
  <r>
    <s v="Foldable Overbed Table/Desk"/>
    <n v="1650"/>
    <n v="2150"/>
    <x v="12"/>
    <n v="14"/>
    <x v="10"/>
    <x v="2"/>
    <n v="500"/>
    <x v="1"/>
  </r>
  <r>
    <s v="Metal Decorative Hooks Key Hangers Entryway Wall Hooks Towel Hooks - Home"/>
    <n v="527"/>
    <n v="999"/>
    <x v="13"/>
    <n v="14"/>
    <x v="5"/>
    <x v="2"/>
    <n v="472"/>
    <x v="0"/>
  </r>
  <r>
    <s v="5-PCS Stainless Steel Cooking Pot Set With Steamed Slices"/>
    <n v="2115"/>
    <n v="4700"/>
    <x v="14"/>
    <n v="13"/>
    <x v="11"/>
    <x v="0"/>
    <n v="2585"/>
    <x v="0"/>
  </r>
  <r>
    <s v="12 Litre Black Insulated Lunch Box"/>
    <n v="1350"/>
    <n v="1990"/>
    <x v="15"/>
    <n v="13"/>
    <x v="12"/>
    <x v="2"/>
    <n v="640"/>
    <x v="1"/>
  </r>
  <r>
    <s v="3PCS Single Head Knitting Crochet Sweater Needle Set"/>
    <n v="38"/>
    <n v="80"/>
    <x v="16"/>
    <n v="13"/>
    <x v="13"/>
    <x v="2"/>
    <n v="42"/>
    <x v="0"/>
  </r>
  <r>
    <s v="Portable Wardrobe Nonwoven With 3 Hanging Rods And 6 Storage Shelves"/>
    <n v="2880"/>
    <n v="3520"/>
    <x v="17"/>
    <n v="12"/>
    <x v="12"/>
    <x v="2"/>
    <n v="640"/>
    <x v="2"/>
  </r>
  <r>
    <s v="12 Litre Insulated Lunch Box Grey"/>
    <n v="980"/>
    <n v="1490"/>
    <x v="3"/>
    <n v="12"/>
    <x v="2"/>
    <x v="1"/>
    <n v="510"/>
    <x v="1"/>
  </r>
  <r>
    <s v="40cm Gold DIY Acrylic Wall Sticker Clock"/>
    <n v="552"/>
    <n v="1035"/>
    <x v="13"/>
    <n v="12"/>
    <x v="14"/>
    <x v="1"/>
    <n v="483"/>
    <x v="0"/>
  </r>
  <r>
    <s v="Genebre 115 In 1 Screwdriver Repairing Tool Set For IPhone Cellphone Hand Tool"/>
    <n v="799"/>
    <n v="999"/>
    <x v="18"/>
    <n v="12"/>
    <x v="5"/>
    <x v="2"/>
    <n v="200"/>
    <x v="1"/>
  </r>
  <r>
    <s v="Mythco 120COB Solar Wall Ligt With Motion Sensor And Remote Control 3 Modes"/>
    <n v="458"/>
    <n v="986"/>
    <x v="19"/>
    <n v="10"/>
    <x v="15"/>
    <x v="2"/>
    <n v="528"/>
    <x v="0"/>
  </r>
  <r>
    <s v="LED Eye Protection  Desk Lamp , Study, Reading, USB Fan - Double Pen Holder"/>
    <n v="1820"/>
    <n v="3490"/>
    <x v="20"/>
    <n v="9"/>
    <x v="3"/>
    <x v="2"/>
    <n v="1670"/>
    <x v="0"/>
  </r>
  <r>
    <s v="Multifunction Laser Level With Adjustment Tripod"/>
    <n v="1680"/>
    <n v="2499"/>
    <x v="21"/>
    <n v="9"/>
    <x v="16"/>
    <x v="2"/>
    <n v="819"/>
    <x v="1"/>
  </r>
  <r>
    <s v="Exfoliate And Exfoliate Face Towel - Black"/>
    <n v="185"/>
    <n v="382"/>
    <x v="10"/>
    <n v="9"/>
    <x v="3"/>
    <x v="2"/>
    <n v="197"/>
    <x v="0"/>
  </r>
  <r>
    <s v="AVERAGE"/>
    <n v="1277.4230769230769"/>
    <n v="1908"/>
    <x v="22"/>
    <n v="22.846153846153847"/>
    <x v="17"/>
    <x v="3"/>
    <n v="630.57692307692309"/>
    <x v="3"/>
  </r>
  <r>
    <s v="LASA 3 Tier Bamboo Shoe Bench Storage Shelf"/>
    <n v="2048"/>
    <n v="4500"/>
    <x v="19"/>
    <n v="7"/>
    <x v="3"/>
    <x v="2"/>
    <n v="2452"/>
    <x v="0"/>
  </r>
  <r>
    <s v="Electric LED UV Mosquito Killer Lamp, Outdoor/Indoor Fly Killer Trap Light -USB"/>
    <n v="1570"/>
    <n v="2988"/>
    <x v="13"/>
    <n v="7"/>
    <x v="11"/>
    <x v="0"/>
    <n v="1418"/>
    <x v="0"/>
  </r>
  <r>
    <s v="380ML USB Rechargeable Portable Small Blenders And Juicers"/>
    <n v="1000"/>
    <n v="2000"/>
    <x v="23"/>
    <n v="7"/>
    <x v="18"/>
    <x v="0"/>
    <n v="1000"/>
    <x v="0"/>
  </r>
  <r>
    <s v="Weighing Scale Digital Bathroom Body Fat Scale USB-Black"/>
    <n v="1580"/>
    <n v="2499"/>
    <x v="24"/>
    <n v="7"/>
    <x v="2"/>
    <x v="1"/>
    <n v="919"/>
    <x v="1"/>
  </r>
  <r>
    <s v="7-piece Set Of Storage Bags, Travel Storage Bags, Shoe Bags"/>
    <n v="968"/>
    <n v="1814"/>
    <x v="13"/>
    <n v="6"/>
    <x v="19"/>
    <x v="0"/>
    <n v="846"/>
    <x v="0"/>
  </r>
  <r>
    <s v="Artificial Potted Flowers Room Decorative Flowers (2 Pieces)"/>
    <n v="990"/>
    <n v="1814"/>
    <x v="8"/>
    <n v="6"/>
    <x v="19"/>
    <x v="0"/>
    <n v="824"/>
    <x v="0"/>
  </r>
  <r>
    <s v="LED Romantic Spaceship Starry Sky Projector,Children's Bedroom Night Light-Blue"/>
    <n v="880"/>
    <n v="1350"/>
    <x v="2"/>
    <n v="6"/>
    <x v="9"/>
    <x v="2"/>
    <n v="470"/>
    <x v="1"/>
  </r>
  <r>
    <s v="LASA Digital Thermometer And Hydrometer"/>
    <n v="501"/>
    <n v="860"/>
    <x v="25"/>
    <n v="6"/>
    <x v="4"/>
    <x v="1"/>
    <n v="359"/>
    <x v="0"/>
  </r>
  <r>
    <s v="5 Pieces/set Of Stainless Steel Induction Cooker Pots"/>
    <n v="2170"/>
    <n v="2500"/>
    <x v="26"/>
    <n v="6"/>
    <x v="20"/>
    <x v="0"/>
    <n v="330"/>
    <x v="2"/>
  </r>
  <r>
    <s v="Watercolour Gold Foil Textured Print Pillow Cover"/>
    <n v="345"/>
    <n v="602"/>
    <x v="27"/>
    <n v="6"/>
    <x v="18"/>
    <x v="0"/>
    <n v="257"/>
    <x v="0"/>
  </r>
  <r>
    <s v="32PCS Portable Cordless Drill Set With Cyclic Battery Drive -26 Variable Speed"/>
    <n v="3750"/>
    <n v="6143"/>
    <x v="28"/>
    <n v="5"/>
    <x v="15"/>
    <x v="2"/>
    <n v="2393"/>
    <x v="1"/>
  </r>
  <r>
    <s v="LASA FOLDING TABLE SERVING STAND"/>
    <n v="1274"/>
    <n v="2800"/>
    <x v="14"/>
    <n v="5"/>
    <x v="14"/>
    <x v="1"/>
    <n v="1526"/>
    <x v="0"/>
  </r>
  <r>
    <s v="13 In 1 Home Repair Tools Box Kit Set"/>
    <n v="1600"/>
    <n v="2929"/>
    <x v="8"/>
    <n v="5"/>
    <x v="12"/>
    <x v="2"/>
    <n v="1329"/>
    <x v="0"/>
  </r>
  <r>
    <s v="Large Lazy Inflatable Sofa Chairs PVC Lounger Seat Bag"/>
    <n v="2300"/>
    <n v="3240"/>
    <x v="29"/>
    <n v="5"/>
    <x v="15"/>
    <x v="2"/>
    <n v="940"/>
    <x v="1"/>
  </r>
  <r>
    <s v="LED Wall Digital Alarm Clock Study Home 12 / 24H Clock Calendar"/>
    <n v="2999"/>
    <n v="3699"/>
    <x v="30"/>
    <n v="5"/>
    <x v="1"/>
    <x v="1"/>
    <n v="700"/>
    <x v="2"/>
  </r>
  <r>
    <s v="Portable Home Small Air Humidifier 3-Speed Fan - Green"/>
    <n v="1740"/>
    <n v="2356"/>
    <x v="31"/>
    <n v="5"/>
    <x v="14"/>
    <x v="1"/>
    <n v="616"/>
    <x v="1"/>
  </r>
  <r>
    <s v="Wrought Iron Bathroom Shelf Wall Mounted Free Punch Toilet Rack"/>
    <n v="509"/>
    <n v="899"/>
    <x v="27"/>
    <n v="5"/>
    <x v="15"/>
    <x v="2"/>
    <n v="390"/>
    <x v="0"/>
  </r>
  <r>
    <s v="LASA Aluminum Folding Truck Hand Cart - 68kg Max"/>
    <n v="2025"/>
    <n v="3971"/>
    <x v="0"/>
    <n v="3"/>
    <x v="21"/>
    <x v="1"/>
    <n v="1946"/>
    <x v="0"/>
  </r>
  <r>
    <s v="1/2/3 Seater Elastic Sofa Cover,Living Room/Home Decor Chair Cover-Grey"/>
    <n v="1800"/>
    <n v="2700"/>
    <x v="32"/>
    <n v="2"/>
    <x v="4"/>
    <x v="1"/>
    <n v="900"/>
    <x v="1"/>
  </r>
  <r>
    <s v="Desk Foldable Fan Adjustable Fan Strong Wind 3 Gear Usb"/>
    <n v="988"/>
    <n v="1580"/>
    <x v="24"/>
    <n v="2"/>
    <x v="9"/>
    <x v="2"/>
    <n v="592"/>
    <x v="1"/>
  </r>
  <r>
    <s v="115  Piece Set Of Multifunctional Precision Screwdrivers"/>
    <n v="950"/>
    <n v="1525"/>
    <x v="32"/>
    <n v="2"/>
    <x v="4"/>
    <x v="1"/>
    <n v="575"/>
    <x v="1"/>
  </r>
  <r>
    <s v="Anti-Skid Absorbent Insulation Coaster  For Home Office"/>
    <n v="332"/>
    <n v="684"/>
    <x v="33"/>
    <n v="2"/>
    <x v="21"/>
    <x v="1"/>
    <n v="352"/>
    <x v="0"/>
  </r>
  <r>
    <s v="Classic Black Cat Cotton Hemp Pillow Case For Home Car"/>
    <n v="171"/>
    <n v="360"/>
    <x v="16"/>
    <n v="2"/>
    <x v="21"/>
    <x v="1"/>
    <n v="189"/>
    <x v="0"/>
  </r>
  <r>
    <s v="Peacock  Throw Pillow Cushion Case For Home Car"/>
    <n v="195"/>
    <n v="360"/>
    <x v="34"/>
    <n v="2"/>
    <x v="21"/>
    <x v="1"/>
    <n v="165"/>
    <x v="0"/>
  </r>
  <r>
    <s v="DIY File Folder, Office Drawer File Holder, Pen Holder, Desktop Storage Rack"/>
    <n v="1620"/>
    <n v="2690"/>
    <x v="35"/>
    <n v="1"/>
    <x v="21"/>
    <x v="1"/>
    <n v="1070"/>
    <x v="1"/>
  </r>
  <r>
    <s v="Memory Foam Neck Pillow Cover, With Pillow Core - 50*30cm"/>
    <n v="1189"/>
    <n v="2199"/>
    <x v="34"/>
    <n v="1"/>
    <x v="15"/>
    <x v="2"/>
    <n v="1010"/>
    <x v="0"/>
  </r>
  <r>
    <s v="Konka Healty Electric Kettle, 24-hour Heat Preservation,1.5L,800W, White"/>
    <n v="3640"/>
    <n v="4588"/>
    <x v="36"/>
    <n v="1"/>
    <x v="21"/>
    <x v="1"/>
    <n v="948"/>
    <x v="1"/>
  </r>
  <r>
    <s v="Bedroom Simple Floor Hanging Clothes Rack Single Pole Hat Rack - White"/>
    <n v="979"/>
    <n v="1920"/>
    <x v="0"/>
    <n v="1"/>
    <x v="21"/>
    <x v="1"/>
    <n v="941"/>
    <x v="0"/>
  </r>
  <r>
    <s v="Wall-mounted Sticker Punch-free Plug Fixer"/>
    <n v="450"/>
    <n v="900"/>
    <x v="23"/>
    <n v="1"/>
    <x v="22"/>
    <x v="0"/>
    <n v="450"/>
    <x v="0"/>
  </r>
  <r>
    <s v="Household Pineapple Peeler Peeler"/>
    <n v="330"/>
    <n v="647"/>
    <x v="0"/>
    <n v="1"/>
    <x v="9"/>
    <x v="2"/>
    <n v="317"/>
    <x v="0"/>
  </r>
  <r>
    <s v="MultiFunctional Storage Rack Multi-layer Bookshelf"/>
    <n v="2200"/>
    <n v="4080"/>
    <x v="34"/>
    <n v="0"/>
    <x v="23"/>
    <x v="4"/>
    <n v="1880"/>
    <x v="0"/>
  </r>
  <r>
    <s v="LASA Stainless Steel Double Wall Mount Soap Dispenser - 500ml"/>
    <n v="2750"/>
    <n v="4471"/>
    <x v="32"/>
    <n v="0"/>
    <x v="23"/>
    <x v="4"/>
    <n v="1721"/>
    <x v="1"/>
  </r>
  <r>
    <s v="4pcs Bathroom/Kitchen Towel Rack,Roll Paper Holder,Towel Bars,Hook"/>
    <n v="1860"/>
    <n v="3220"/>
    <x v="25"/>
    <n v="0"/>
    <x v="23"/>
    <x v="4"/>
    <n v="1360"/>
    <x v="0"/>
  </r>
  <r>
    <s v="Portable Wine Table With Folding Round Table"/>
    <n v="1300"/>
    <n v="2500"/>
    <x v="20"/>
    <n v="0"/>
    <x v="23"/>
    <x v="4"/>
    <n v="1200"/>
    <x v="0"/>
  </r>
  <r>
    <s v="2PCS Ice Silk Square Cushion Cover Pillowcases - 65x65cm"/>
    <n v="1200"/>
    <n v="2400"/>
    <x v="23"/>
    <n v="0"/>
    <x v="23"/>
    <x v="4"/>
    <n v="1200"/>
    <x v="0"/>
  </r>
  <r>
    <s v="12V 19500rpm Handheld Electric Angle Grinder Tool - UK - Yellow/Black"/>
    <n v="2799"/>
    <n v="3810"/>
    <x v="5"/>
    <n v="0"/>
    <x v="23"/>
    <x v="4"/>
    <n v="1011"/>
    <x v="1"/>
  </r>
  <r>
    <s v="Christmas Elk Fence Yard Lawn Decorations Cute For Holidays"/>
    <n v="999"/>
    <n v="2000"/>
    <x v="23"/>
    <n v="0"/>
    <x v="23"/>
    <x v="4"/>
    <n v="1001"/>
    <x v="0"/>
  </r>
  <r>
    <s v="9pcs Gas Mask, For Painting, Dust, Formaldehyde Grinding, Polishing"/>
    <n v="1420"/>
    <n v="2420"/>
    <x v="4"/>
    <n v="0"/>
    <x v="23"/>
    <x v="4"/>
    <n v="1000"/>
    <x v="0"/>
  </r>
  <r>
    <s v="Wall Clock With Hidden Safe Box"/>
    <n v="850"/>
    <n v="1700"/>
    <x v="23"/>
    <n v="0"/>
    <x v="23"/>
    <x v="4"/>
    <n v="850"/>
    <x v="0"/>
  </r>
  <r>
    <s v="5m Waterproof Spherical LED String Lights Outdoor Ball Chain Lights Party Lighting Decoration Adjustable"/>
    <n v="1460"/>
    <n v="2290"/>
    <x v="37"/>
    <n v="0"/>
    <x v="23"/>
    <x v="4"/>
    <n v="830"/>
    <x v="1"/>
  </r>
  <r>
    <s v="6 Layers Steel Pipe Assembling Dustproof Storage Shoe Cabinet"/>
    <n v="899"/>
    <n v="1699"/>
    <x v="13"/>
    <n v="0"/>
    <x v="23"/>
    <x v="4"/>
    <n v="800"/>
    <x v="0"/>
  </r>
  <r>
    <s v="8in1 Screwdriver With LED Light"/>
    <n v="1080"/>
    <n v="1874"/>
    <x v="25"/>
    <n v="0"/>
    <x v="23"/>
    <x v="4"/>
    <n v="794"/>
    <x v="0"/>
  </r>
  <r>
    <s v="Angle Measuring Tool Full Metal Multi Angle Measuring Tool"/>
    <n v="799"/>
    <n v="1567"/>
    <x v="0"/>
    <n v="0"/>
    <x v="23"/>
    <x v="4"/>
    <n v="768"/>
    <x v="0"/>
  </r>
  <r>
    <s v="2pcs Solar Street Light Flood Light Outdoor"/>
    <n v="1200"/>
    <n v="1950"/>
    <x v="32"/>
    <n v="0"/>
    <x v="23"/>
    <x v="4"/>
    <n v="750"/>
    <x v="1"/>
  </r>
  <r>
    <s v="2PCS/LOT Solar LED Outdoor Intelligent Light Controlled Wall Lamp"/>
    <n v="790"/>
    <n v="1485"/>
    <x v="13"/>
    <n v="0"/>
    <x v="23"/>
    <x v="4"/>
    <n v="695"/>
    <x v="0"/>
  </r>
  <r>
    <s v="Car Phone Charging Stand"/>
    <n v="671"/>
    <n v="1316"/>
    <x v="0"/>
    <n v="0"/>
    <x v="23"/>
    <x v="4"/>
    <n v="645"/>
    <x v="0"/>
  </r>
  <r>
    <s v="Christmas Fence Garden Decorations Outdoor For Holiday Home"/>
    <n v="699"/>
    <n v="1343"/>
    <x v="20"/>
    <n v="0"/>
    <x v="23"/>
    <x v="4"/>
    <n v="644"/>
    <x v="0"/>
  </r>
  <r>
    <s v="Cartoon Embroidered Mini Towel Bear Cotton Wash Cloth Hand 4pcs"/>
    <n v="1190"/>
    <n v="1810"/>
    <x v="3"/>
    <n v="0"/>
    <x v="23"/>
    <x v="4"/>
    <n v="620"/>
    <x v="1"/>
  </r>
  <r>
    <s v="60W Hot Melt Glue Sprayer - Efficient And Stable Glue Dispensing"/>
    <n v="1190"/>
    <n v="1785"/>
    <x v="21"/>
    <n v="0"/>
    <x v="23"/>
    <x v="4"/>
    <n v="595"/>
    <x v="1"/>
  </r>
  <r>
    <s v="LED Solar Street Light-fake Camera"/>
    <n v="1150"/>
    <n v="1737"/>
    <x v="3"/>
    <n v="0"/>
    <x v="23"/>
    <x v="4"/>
    <n v="587"/>
    <x v="1"/>
  </r>
  <r>
    <s v="Cute Christmas Fence Garden Decorations For Holiday Home"/>
    <n v="799"/>
    <n v="1343"/>
    <x v="4"/>
    <n v="0"/>
    <x v="23"/>
    <x v="4"/>
    <n v="544"/>
    <x v="0"/>
  </r>
  <r>
    <s v="3PCS Rotary Scraper Thermomix For Kitchen"/>
    <n v="690"/>
    <n v="1200"/>
    <x v="27"/>
    <n v="0"/>
    <x v="23"/>
    <x v="4"/>
    <n v="510"/>
    <x v="0"/>
  </r>
  <r>
    <s v="Baby Early Education Shape And Color Cognitive Training Toys"/>
    <n v="525"/>
    <n v="1029"/>
    <x v="0"/>
    <n v="0"/>
    <x v="23"/>
    <x v="4"/>
    <n v="504"/>
    <x v="0"/>
  </r>
  <r>
    <s v="Multifunctional Hanging Storage Box Storage Bag (4 Layers)"/>
    <n v="630"/>
    <n v="1100"/>
    <x v="27"/>
    <n v="0"/>
    <x v="23"/>
    <x v="4"/>
    <n v="470"/>
    <x v="0"/>
  </r>
  <r>
    <s v="4M Float Switch Water Level Controller -Water Tank"/>
    <n v="475"/>
    <n v="931"/>
    <x v="0"/>
    <n v="0"/>
    <x v="23"/>
    <x v="4"/>
    <n v="456"/>
    <x v="0"/>
  </r>
  <r>
    <s v="Balloon Insert, Birthday Party Balloon Set, PU Leather"/>
    <n v="610"/>
    <n v="1060"/>
    <x v="25"/>
    <n v="0"/>
    <x v="23"/>
    <x v="4"/>
    <n v="450"/>
    <x v="0"/>
  </r>
  <r>
    <s v="Simple Metal Dog Art Sculpture Decoration For Home Office"/>
    <n v="499"/>
    <n v="900"/>
    <x v="8"/>
    <n v="0"/>
    <x v="23"/>
    <x v="4"/>
    <n v="401"/>
    <x v="0"/>
  </r>
  <r>
    <s v="6 In 1 Bottle Can Opener Multifunctional Easy Opener"/>
    <n v="199"/>
    <n v="553"/>
    <x v="38"/>
    <n v="0"/>
    <x v="23"/>
    <x v="4"/>
    <n v="354"/>
    <x v="0"/>
  </r>
  <r>
    <s v="Creative Owl Shape Keychain Black"/>
    <n v="199"/>
    <n v="504"/>
    <x v="39"/>
    <n v="0"/>
    <x v="23"/>
    <x v="4"/>
    <n v="305"/>
    <x v="0"/>
  </r>
  <r>
    <s v="Brush &amp; Paintbrush Cleaning Tool Pink"/>
    <n v="299"/>
    <n v="600"/>
    <x v="23"/>
    <n v="0"/>
    <x v="23"/>
    <x v="4"/>
    <n v="301"/>
    <x v="0"/>
  </r>
  <r>
    <s v="Cartoon Car Decoration Cute Individuality For Car Home Desk"/>
    <n v="274"/>
    <n v="537"/>
    <x v="0"/>
    <n v="0"/>
    <x v="23"/>
    <x v="4"/>
    <n v="263"/>
    <x v="0"/>
  </r>
  <r>
    <s v="Modern Sofa Throw Pillow Cover-45x45cm-Blue&amp;Red"/>
    <n v="238"/>
    <n v="476"/>
    <x v="23"/>
    <n v="0"/>
    <x v="23"/>
    <x v="4"/>
    <n v="238"/>
    <x v="0"/>
  </r>
  <r>
    <s v="4 Piece Coloured Stainless Steel Kitchenware Set"/>
    <n v="248"/>
    <n v="486"/>
    <x v="0"/>
    <n v="0"/>
    <x v="23"/>
    <x v="4"/>
    <n v="238"/>
    <x v="0"/>
  </r>
  <r>
    <s v="Office Chair Lumbar Back Support Spine Posture Correction Pillow Car Cushion"/>
    <n v="1466"/>
    <n v="1699"/>
    <x v="40"/>
    <n v="0"/>
    <x v="23"/>
    <x v="4"/>
    <n v="233"/>
    <x v="2"/>
  </r>
  <r>
    <s v="Wall-Mounted Toothbrush Toothpaste Holder With Multiple Slots"/>
    <n v="1468"/>
    <n v="1699"/>
    <x v="40"/>
    <n v="0"/>
    <x v="23"/>
    <x v="4"/>
    <n v="231"/>
    <x v="2"/>
  </r>
  <r>
    <s v="7PCS Silicone Thumb Knife Finger Protector Vegetable Harvesting Knife"/>
    <n v="230"/>
    <n v="450"/>
    <x v="0"/>
    <n v="0"/>
    <x v="23"/>
    <x v="4"/>
    <n v="220"/>
    <x v="0"/>
  </r>
  <r>
    <s v="Metal Wall Clock Silver Dial Crystal Jewelry Round Home Decoration Wall Clock"/>
    <n v="3546"/>
    <n v="3699"/>
    <x v="41"/>
    <n v="0"/>
    <x v="23"/>
    <x v="4"/>
    <n v="153"/>
    <x v="2"/>
  </r>
  <r>
    <s v="Black Simple Water Cup Wine Coaster Anti Slip Absorbent"/>
    <n v="169"/>
    <n v="320"/>
    <x v="13"/>
    <n v="0"/>
    <x v="23"/>
    <x v="4"/>
    <n v="151"/>
    <x v="0"/>
  </r>
  <r>
    <s v="Wall Mount Automatic Toothpaste Dispenser Toothbrush Holder Toothpaste Squeezer"/>
    <n v="1526"/>
    <n v="1660"/>
    <x v="42"/>
    <n v="0"/>
    <x v="23"/>
    <x v="4"/>
    <n v="134"/>
    <x v="2"/>
  </r>
  <r>
    <s v="Outdoor Portable Water Bottle With Medicine Box - 600ML - Black"/>
    <n v="799"/>
    <n v="900"/>
    <x v="43"/>
    <n v="0"/>
    <x v="23"/>
    <x v="4"/>
    <n v="101"/>
    <x v="2"/>
  </r>
  <r>
    <s v="Sewing Machine Needle Threader Stitch Insertion Tool Automatic Quick Sewing"/>
    <n v="105"/>
    <n v="200"/>
    <x v="20"/>
    <n v="0"/>
    <x v="23"/>
    <x v="4"/>
    <n v="95"/>
    <x v="0"/>
  </r>
  <r>
    <s v="Pilates Cloth Bag Waterproof Durable High Capacity Purple"/>
    <n v="299"/>
    <n v="384"/>
    <x v="9"/>
    <n v="0"/>
    <x v="23"/>
    <x v="4"/>
    <n v="85"/>
    <x v="1"/>
  </r>
  <r>
    <s v="Cushion Silicone Butt Cushion Summer Ice Cushion Honeycomb Gel Cushion"/>
    <n v="1732"/>
    <n v="1799"/>
    <x v="41"/>
    <n v="0"/>
    <x v="23"/>
    <x v="4"/>
    <n v="67"/>
    <x v="2"/>
  </r>
  <r>
    <s v="1PC Refrigerator Food Seal Pocket Fridge Bags"/>
    <n v="198"/>
    <n v="260"/>
    <x v="1"/>
    <n v="0"/>
    <x v="23"/>
    <x v="4"/>
    <n v="62"/>
    <x v="1"/>
  </r>
  <r>
    <s v="Shower Nozzle Cleaning Unclogging Needle Mini Crevice Small Hole Cleaning Brush"/>
    <n v="1658"/>
    <n v="1699"/>
    <x v="44"/>
    <n v="0"/>
    <x v="23"/>
    <x v="4"/>
    <n v="41"/>
    <x v="2"/>
  </r>
  <r>
    <s v="Multi-purpose Rice Drainage Basket And Fruit And Vegetable Drainage Sieve"/>
    <n v="1459"/>
    <n v="1499"/>
    <x v="45"/>
    <n v="0"/>
    <x v="23"/>
    <x v="4"/>
    <n v="40"/>
    <x v="2"/>
  </r>
  <r>
    <s v="Pen Grips For Kids Pen Grip Posture Correction Tool For Kids"/>
    <n v="1660"/>
    <n v="1699"/>
    <x v="44"/>
    <n v="0"/>
    <x v="23"/>
    <x v="4"/>
    <n v="39"/>
    <x v="2"/>
  </r>
  <r>
    <s v="Shower Cap Wide Elastic Band Cover Reusable Bashroom Cap"/>
    <n v="2132"/>
    <n v="2169"/>
    <x v="44"/>
    <n v="0"/>
    <x v="23"/>
    <x v="4"/>
    <n v="37"/>
    <x v="2"/>
  </r>
  <r>
    <s v="Portable Soap Dispenser Kitchen Detergent Press Box Kitchen Tools"/>
    <n v="1462"/>
    <n v="1499"/>
    <x v="44"/>
    <n v="0"/>
    <x v="23"/>
    <x v="4"/>
    <n v="37"/>
    <x v="2"/>
  </r>
  <r>
    <s v="2 Pairs Cowhide Split Leather Work Gloves.32â„‰ Or Above Welding Gloves"/>
    <n v="1666"/>
    <n v="1699"/>
    <x v="44"/>
    <n v="0"/>
    <x v="23"/>
    <x v="4"/>
    <n v="33"/>
    <x v="2"/>
  </r>
  <r>
    <s v="Thickening Multipurpose Non Stick Easy To Clean Heat Resistant Spoon Pad"/>
    <n v="1768"/>
    <n v="1799"/>
    <x v="44"/>
    <n v="0"/>
    <x v="23"/>
    <x v="4"/>
    <n v="31"/>
    <x v="2"/>
  </r>
  <r>
    <s v="24 Grid Wall-mounted Sundries Organiser Fabric Closet Bag Storage Rack"/>
    <n v="1875"/>
    <n v="1899"/>
    <x v="46"/>
    <n v="0"/>
    <x v="23"/>
    <x v="4"/>
    <n v="24"/>
    <x v="2"/>
  </r>
</pivotCacheRecords>
</file>

<file path=xl/pivotCache/pivotCacheRecords3.xml><?xml version="1.0" encoding="utf-8"?>
<pivotCacheRecords xmlns="http://schemas.openxmlformats.org/spreadsheetml/2006/main" xmlns:r="http://schemas.openxmlformats.org/officeDocument/2006/relationships" count="109">
  <r>
    <s v="120W Cordless Vacuum Cleaners Handheld Electric Vacuum Cleaner"/>
    <n v="445"/>
    <n v="873"/>
    <x v="0"/>
    <x v="0"/>
    <x v="0"/>
    <s v="Poor"/>
    <n v="428"/>
    <x v="0"/>
  </r>
  <r>
    <s v="137 Pieces Cake Decorating Tool Set Baking Supplies"/>
    <n v="2319"/>
    <n v="3032"/>
    <x v="1"/>
    <x v="1"/>
    <x v="1"/>
    <s v="Excellent"/>
    <n v="713"/>
    <x v="1"/>
  </r>
  <r>
    <s v="Electronic Digital Display Vernier Caliper"/>
    <n v="420"/>
    <n v="647"/>
    <x v="2"/>
    <x v="2"/>
    <x v="1"/>
    <s v="Excellent"/>
    <n v="227"/>
    <x v="1"/>
  </r>
  <r>
    <s v="3D Waterproof EVA Plastic Shower Curtain 1.8*2Mtrs"/>
    <n v="998"/>
    <n v="1966"/>
    <x v="0"/>
    <x v="3"/>
    <x v="1"/>
    <s v="Excellent"/>
    <n v="968"/>
    <x v="0"/>
  </r>
  <r>
    <s v="100 Pcs Crochet Hook Tool Set Knitting Hook Set With Box"/>
    <n v="990"/>
    <n v="1500"/>
    <x v="3"/>
    <x v="4"/>
    <x v="2"/>
    <s v="Excellent"/>
    <n v="510"/>
    <x v="1"/>
  </r>
  <r>
    <s v="Punch-free Great Load Bearing Bathroom Storage Rack Wall Shelf-White"/>
    <n v="389"/>
    <n v="656"/>
    <x v="4"/>
    <x v="5"/>
    <x v="3"/>
    <s v="Average"/>
    <n v="267"/>
    <x v="0"/>
  </r>
  <r>
    <s v="53 Pieces/Set Yarn Knitting Crochet Hooks With Bag - Pansies"/>
    <n v="1980"/>
    <n v="2699"/>
    <x v="5"/>
    <x v="6"/>
    <x v="4"/>
    <s v="Excellent"/>
    <n v="719"/>
    <x v="1"/>
  </r>
  <r>
    <s v="Portable Mini Cordless Car Vacuum Cleaner - Blue"/>
    <n v="2199"/>
    <n v="2923"/>
    <x v="6"/>
    <x v="7"/>
    <x v="1"/>
    <s v="Excellent"/>
    <n v="724"/>
    <x v="1"/>
  </r>
  <r>
    <s v="52 Pieces Cake Decorating Tool Set Gift Kit Baking Supplies"/>
    <n v="1758"/>
    <n v="2499"/>
    <x v="7"/>
    <x v="8"/>
    <x v="5"/>
    <s v="Average"/>
    <n v="741"/>
    <x v="1"/>
  </r>
  <r>
    <s v="53Pcs/Set Yarn Knitting Crochet Hooks With Bag - Fortune Cat"/>
    <n v="1940"/>
    <n v="2650"/>
    <x v="5"/>
    <x v="8"/>
    <x v="2"/>
    <s v="Excellent"/>
    <n v="710"/>
    <x v="1"/>
  </r>
  <r>
    <s v="Agapeon Toothbrush Holder And Toothpaste Dispenser"/>
    <n v="382"/>
    <n v="700"/>
    <x v="8"/>
    <x v="9"/>
    <x v="6"/>
    <s v="Poor"/>
    <n v="318"/>
    <x v="0"/>
  </r>
  <r>
    <s v="VIC Wireless Vacuum Cleaner Dual Use For Home And Car 120W High Power Powerful"/>
    <n v="1220"/>
    <n v="1555"/>
    <x v="9"/>
    <x v="10"/>
    <x v="7"/>
    <s v="Poor"/>
    <n v="335"/>
    <x v="1"/>
  </r>
  <r>
    <s v="Intelligent  LED Body Sensor Wireless Lighting Night Light USB"/>
    <n v="325"/>
    <n v="680"/>
    <x v="10"/>
    <x v="11"/>
    <x v="8"/>
    <s v="Poor"/>
    <n v="355"/>
    <x v="0"/>
  </r>
  <r>
    <s v="220V 60W Electric Soldering Iron Kits With Tools, Tips, And Multimeter"/>
    <n v="2999"/>
    <n v="3290"/>
    <x v="11"/>
    <x v="11"/>
    <x v="9"/>
    <s v="Average"/>
    <n v="291"/>
    <x v="2"/>
  </r>
  <r>
    <s v="Foldable Overbed Table/Desk"/>
    <n v="1650"/>
    <n v="2150"/>
    <x v="12"/>
    <x v="12"/>
    <x v="10"/>
    <s v="Average"/>
    <n v="500"/>
    <x v="1"/>
  </r>
  <r>
    <s v="Metal Decorative Hooks Key Hangers Entryway Wall Hooks Towel Hooks - Home"/>
    <n v="527"/>
    <n v="999"/>
    <x v="13"/>
    <x v="12"/>
    <x v="5"/>
    <s v="Average"/>
    <n v="472"/>
    <x v="0"/>
  </r>
  <r>
    <s v="5-PCS Stainless Steel Cooking Pot Set With Steamed Slices"/>
    <n v="2115"/>
    <n v="4700"/>
    <x v="14"/>
    <x v="13"/>
    <x v="11"/>
    <s v="Poor"/>
    <n v="2585"/>
    <x v="0"/>
  </r>
  <r>
    <s v="12 Litre Black Insulated Lunch Box"/>
    <n v="1350"/>
    <n v="1990"/>
    <x v="15"/>
    <x v="13"/>
    <x v="12"/>
    <s v="Average"/>
    <n v="640"/>
    <x v="1"/>
  </r>
  <r>
    <s v="3PCS Single Head Knitting Crochet Sweater Needle Set"/>
    <n v="38"/>
    <n v="80"/>
    <x v="16"/>
    <x v="13"/>
    <x v="13"/>
    <s v="Average"/>
    <n v="42"/>
    <x v="0"/>
  </r>
  <r>
    <s v="Portable Wardrobe Nonwoven With 3 Hanging Rods And 6 Storage Shelves"/>
    <n v="2880"/>
    <n v="3520"/>
    <x v="17"/>
    <x v="14"/>
    <x v="12"/>
    <s v="Average"/>
    <n v="640"/>
    <x v="2"/>
  </r>
  <r>
    <s v="12 Litre Insulated Lunch Box Grey"/>
    <n v="980"/>
    <n v="1490"/>
    <x v="3"/>
    <x v="14"/>
    <x v="2"/>
    <s v="Excellent"/>
    <n v="510"/>
    <x v="1"/>
  </r>
  <r>
    <s v="40cm Gold DIY Acrylic Wall Sticker Clock"/>
    <n v="552"/>
    <n v="1035"/>
    <x v="13"/>
    <x v="14"/>
    <x v="14"/>
    <s v="Excellent"/>
    <n v="483"/>
    <x v="0"/>
  </r>
  <r>
    <s v="Genebre 115 In 1 Screwdriver Repairing Tool Set For IPhone Cellphone Hand Tool"/>
    <n v="799"/>
    <n v="999"/>
    <x v="18"/>
    <x v="14"/>
    <x v="5"/>
    <s v="Average"/>
    <n v="200"/>
    <x v="1"/>
  </r>
  <r>
    <s v="Mythco 120COB Solar Wall Ligt With Motion Sensor And Remote Control 3 Modes"/>
    <n v="458"/>
    <n v="986"/>
    <x v="19"/>
    <x v="15"/>
    <x v="15"/>
    <s v="Average"/>
    <n v="528"/>
    <x v="0"/>
  </r>
  <r>
    <s v="LED Eye Protection  Desk Lamp , Study, Reading, USB Fan - Double Pen Holder"/>
    <n v="1820"/>
    <n v="3490"/>
    <x v="20"/>
    <x v="16"/>
    <x v="3"/>
    <s v="Average"/>
    <n v="1670"/>
    <x v="0"/>
  </r>
  <r>
    <s v="Multifunction Laser Level With Adjustment Tripod"/>
    <n v="1680"/>
    <n v="2499"/>
    <x v="21"/>
    <x v="16"/>
    <x v="16"/>
    <s v="Average"/>
    <n v="819"/>
    <x v="1"/>
  </r>
  <r>
    <s v="Exfoliate And Exfoliate Face Towel - Black"/>
    <n v="185"/>
    <n v="382"/>
    <x v="10"/>
    <x v="16"/>
    <x v="3"/>
    <s v="Average"/>
    <n v="197"/>
    <x v="0"/>
  </r>
  <r>
    <s v="LASA 3 Tier Bamboo Shoe Bench Storage Shelf"/>
    <n v="2048"/>
    <n v="4500"/>
    <x v="19"/>
    <x v="17"/>
    <x v="3"/>
    <s v="Average"/>
    <n v="2452"/>
    <x v="0"/>
  </r>
  <r>
    <s v="Electric LED UV Mosquito Killer Lamp, Outdoor/Indoor Fly Killer Trap Light -USB"/>
    <n v="1570"/>
    <n v="2988"/>
    <x v="13"/>
    <x v="17"/>
    <x v="11"/>
    <s v="Poor"/>
    <n v="1418"/>
    <x v="0"/>
  </r>
  <r>
    <s v="380ML USB Rechargeable Portable Small Blenders And Juicers"/>
    <n v="1000"/>
    <n v="2000"/>
    <x v="22"/>
    <x v="17"/>
    <x v="17"/>
    <s v="Poor"/>
    <n v="1000"/>
    <x v="0"/>
  </r>
  <r>
    <s v="Weighing Scale Digital Bathroom Body Fat Scale USB-Black"/>
    <n v="1580"/>
    <n v="2499"/>
    <x v="23"/>
    <x v="17"/>
    <x v="2"/>
    <s v="Excellent"/>
    <n v="919"/>
    <x v="1"/>
  </r>
  <r>
    <s v="7-piece Set Of Storage Bags, Travel Storage Bags, Shoe Bags"/>
    <n v="968"/>
    <n v="1814"/>
    <x v="13"/>
    <x v="18"/>
    <x v="18"/>
    <s v="Poor"/>
    <n v="846"/>
    <x v="0"/>
  </r>
  <r>
    <s v="Artificial Potted Flowers Room Decorative Flowers (2 Pieces)"/>
    <n v="990"/>
    <n v="1814"/>
    <x v="8"/>
    <x v="18"/>
    <x v="18"/>
    <s v="Poor"/>
    <n v="824"/>
    <x v="0"/>
  </r>
  <r>
    <s v="LED Romantic Spaceship Starry Sky Projector,Children's Bedroom Night Light-Blue"/>
    <n v="880"/>
    <n v="1350"/>
    <x v="2"/>
    <x v="18"/>
    <x v="9"/>
    <s v="Average"/>
    <n v="470"/>
    <x v="1"/>
  </r>
  <r>
    <s v="LASA Digital Thermometer And Hydrometer"/>
    <n v="501"/>
    <n v="860"/>
    <x v="24"/>
    <x v="18"/>
    <x v="4"/>
    <s v="Excellent"/>
    <n v="359"/>
    <x v="0"/>
  </r>
  <r>
    <s v="5 Pieces/set Of Stainless Steel Induction Cooker Pots"/>
    <n v="2170"/>
    <n v="2500"/>
    <x v="25"/>
    <x v="18"/>
    <x v="19"/>
    <s v="Poor"/>
    <n v="330"/>
    <x v="2"/>
  </r>
  <r>
    <s v="Watercolour Gold Foil Textured Print Pillow Cover"/>
    <n v="345"/>
    <n v="602"/>
    <x v="26"/>
    <x v="18"/>
    <x v="17"/>
    <s v="Poor"/>
    <n v="257"/>
    <x v="0"/>
  </r>
  <r>
    <s v="32PCS Portable Cordless Drill Set With Cyclic Battery Drive -26 Variable Speed"/>
    <n v="3750"/>
    <n v="6143"/>
    <x v="27"/>
    <x v="19"/>
    <x v="15"/>
    <s v="Average"/>
    <n v="2393"/>
    <x v="1"/>
  </r>
  <r>
    <s v="LASA FOLDING TABLE SERVING STAND"/>
    <n v="1274"/>
    <n v="2800"/>
    <x v="14"/>
    <x v="19"/>
    <x v="14"/>
    <s v="Excellent"/>
    <n v="1526"/>
    <x v="0"/>
  </r>
  <r>
    <s v="13 In 1 Home Repair Tools Box Kit Set"/>
    <n v="1600"/>
    <n v="2929"/>
    <x v="8"/>
    <x v="19"/>
    <x v="12"/>
    <s v="Average"/>
    <n v="1329"/>
    <x v="0"/>
  </r>
  <r>
    <s v="Large Lazy Inflatable Sofa Chairs PVC Lounger Seat Bag"/>
    <n v="2300"/>
    <n v="3240"/>
    <x v="28"/>
    <x v="19"/>
    <x v="15"/>
    <s v="Average"/>
    <n v="940"/>
    <x v="1"/>
  </r>
  <r>
    <s v="LED Wall Digital Alarm Clock Study Home 12 / 24H Clock Calendar"/>
    <n v="2999"/>
    <n v="3699"/>
    <x v="29"/>
    <x v="19"/>
    <x v="1"/>
    <s v="Excellent"/>
    <n v="700"/>
    <x v="2"/>
  </r>
  <r>
    <s v="Portable Home Small Air Humidifier 3-Speed Fan - Green"/>
    <n v="1740"/>
    <n v="2356"/>
    <x v="30"/>
    <x v="19"/>
    <x v="14"/>
    <s v="Excellent"/>
    <n v="616"/>
    <x v="1"/>
  </r>
  <r>
    <s v="Wrought Iron Bathroom Shelf Wall Mounted Free Punch Toilet Rack"/>
    <n v="509"/>
    <n v="899"/>
    <x v="26"/>
    <x v="19"/>
    <x v="15"/>
    <s v="Average"/>
    <n v="390"/>
    <x v="0"/>
  </r>
  <r>
    <s v="LASA Aluminum Folding Truck Hand Cart - 68kg Max"/>
    <n v="2025"/>
    <n v="3971"/>
    <x v="0"/>
    <x v="20"/>
    <x v="20"/>
    <s v="Excellent"/>
    <n v="1946"/>
    <x v="0"/>
  </r>
  <r>
    <s v="1/2/3 Seater Elastic Sofa Cover,Living Room/Home Decor Chair Cover-Grey"/>
    <n v="1800"/>
    <n v="2700"/>
    <x v="31"/>
    <x v="21"/>
    <x v="4"/>
    <s v="Excellent"/>
    <n v="900"/>
    <x v="1"/>
  </r>
  <r>
    <s v="Desk Foldable Fan Adjustable Fan Strong Wind 3 Gear Usb"/>
    <n v="988"/>
    <n v="1580"/>
    <x v="23"/>
    <x v="21"/>
    <x v="9"/>
    <s v="Average"/>
    <n v="592"/>
    <x v="1"/>
  </r>
  <r>
    <s v="115  Piece Set Of Multifunctional Precision Screwdrivers"/>
    <n v="950"/>
    <n v="1525"/>
    <x v="31"/>
    <x v="21"/>
    <x v="4"/>
    <s v="Excellent"/>
    <n v="575"/>
    <x v="1"/>
  </r>
  <r>
    <s v="Anti-Skid Absorbent Insulation Coaster  For Home Office"/>
    <n v="332"/>
    <n v="684"/>
    <x v="32"/>
    <x v="21"/>
    <x v="20"/>
    <s v="Excellent"/>
    <n v="352"/>
    <x v="0"/>
  </r>
  <r>
    <s v="Classic Black Cat Cotton Hemp Pillow Case For Home Car"/>
    <n v="171"/>
    <n v="360"/>
    <x v="16"/>
    <x v="21"/>
    <x v="20"/>
    <s v="Excellent"/>
    <n v="189"/>
    <x v="0"/>
  </r>
  <r>
    <s v="Peacock  Throw Pillow Cushion Case For Home Car"/>
    <n v="195"/>
    <n v="360"/>
    <x v="33"/>
    <x v="21"/>
    <x v="20"/>
    <s v="Excellent"/>
    <n v="165"/>
    <x v="0"/>
  </r>
  <r>
    <s v="DIY File Folder, Office Drawer File Holder, Pen Holder, Desktop Storage Rack"/>
    <n v="1620"/>
    <n v="2690"/>
    <x v="34"/>
    <x v="22"/>
    <x v="20"/>
    <s v="Excellent"/>
    <n v="1070"/>
    <x v="1"/>
  </r>
  <r>
    <s v="Memory Foam Neck Pillow Cover, With Pillow Core - 50*30cm"/>
    <n v="1189"/>
    <n v="2199"/>
    <x v="33"/>
    <x v="22"/>
    <x v="15"/>
    <s v="Average"/>
    <n v="1010"/>
    <x v="0"/>
  </r>
  <r>
    <s v="Konka Healty Electric Kettle, 24-hour Heat Preservation,1.5L,800W, White"/>
    <n v="3640"/>
    <n v="4588"/>
    <x v="35"/>
    <x v="22"/>
    <x v="20"/>
    <s v="Excellent"/>
    <n v="948"/>
    <x v="1"/>
  </r>
  <r>
    <s v="Bedroom Simple Floor Hanging Clothes Rack Single Pole Hat Rack - White"/>
    <n v="979"/>
    <n v="1920"/>
    <x v="0"/>
    <x v="22"/>
    <x v="20"/>
    <s v="Excellent"/>
    <n v="941"/>
    <x v="0"/>
  </r>
  <r>
    <s v="Wall-mounted Sticker Punch-free Plug Fixer"/>
    <n v="450"/>
    <n v="900"/>
    <x v="22"/>
    <x v="22"/>
    <x v="21"/>
    <s v="Poor"/>
    <n v="450"/>
    <x v="0"/>
  </r>
  <r>
    <s v="Household Pineapple Peeler Peeler"/>
    <n v="330"/>
    <n v="647"/>
    <x v="0"/>
    <x v="22"/>
    <x v="9"/>
    <s v="Average"/>
    <n v="317"/>
    <x v="0"/>
  </r>
  <r>
    <s v="MultiFunctional Storage Rack Multi-layer Bookshelf"/>
    <n v="2200"/>
    <n v="4080"/>
    <x v="33"/>
    <x v="23"/>
    <x v="22"/>
    <s v="Excellent"/>
    <n v="1880"/>
    <x v="0"/>
  </r>
  <r>
    <s v="LASA Stainless Steel Double Wall Mount Soap Dispenser - 500ml"/>
    <n v="2750"/>
    <n v="4471"/>
    <x v="31"/>
    <x v="23"/>
    <x v="22"/>
    <s v="Excellent"/>
    <n v="1721"/>
    <x v="1"/>
  </r>
  <r>
    <s v="4pcs Bathroom/Kitchen Towel Rack,Roll Paper Holder,Towel Bars,Hook"/>
    <n v="1860"/>
    <n v="3220"/>
    <x v="24"/>
    <x v="23"/>
    <x v="22"/>
    <s v="Excellent"/>
    <n v="1360"/>
    <x v="0"/>
  </r>
  <r>
    <s v="Portable Wine Table With Folding Round Table"/>
    <n v="1300"/>
    <n v="2500"/>
    <x v="20"/>
    <x v="23"/>
    <x v="22"/>
    <s v="Excellent"/>
    <n v="1200"/>
    <x v="0"/>
  </r>
  <r>
    <s v="2PCS Ice Silk Square Cushion Cover Pillowcases - 65x65cm"/>
    <n v="1200"/>
    <n v="2400"/>
    <x v="22"/>
    <x v="23"/>
    <x v="22"/>
    <s v="Excellent"/>
    <n v="1200"/>
    <x v="0"/>
  </r>
  <r>
    <s v="12V 19500rpm Handheld Electric Angle Grinder Tool - UK - Yellow/Black"/>
    <n v="2799"/>
    <n v="3810"/>
    <x v="5"/>
    <x v="23"/>
    <x v="22"/>
    <s v="Excellent"/>
    <n v="1011"/>
    <x v="1"/>
  </r>
  <r>
    <s v="Christmas Elk Fence Yard Lawn Decorations Cute For Holidays"/>
    <n v="999"/>
    <n v="2000"/>
    <x v="22"/>
    <x v="23"/>
    <x v="22"/>
    <s v="Excellent"/>
    <n v="1001"/>
    <x v="0"/>
  </r>
  <r>
    <s v="9pcs Gas Mask, For Painting, Dust, Formaldehyde Grinding, Polishing"/>
    <n v="1420"/>
    <n v="2420"/>
    <x v="4"/>
    <x v="23"/>
    <x v="22"/>
    <s v="Excellent"/>
    <n v="1000"/>
    <x v="0"/>
  </r>
  <r>
    <s v="Wall Clock With Hidden Safe Box"/>
    <n v="850"/>
    <n v="1700"/>
    <x v="22"/>
    <x v="23"/>
    <x v="22"/>
    <s v="Excellent"/>
    <n v="850"/>
    <x v="0"/>
  </r>
  <r>
    <s v="5m Waterproof Spherical LED String Lights Outdoor Ball Chain Lights Party Lighting Decoration Adjustable"/>
    <n v="1460"/>
    <n v="2290"/>
    <x v="36"/>
    <x v="23"/>
    <x v="22"/>
    <s v="Excellent"/>
    <n v="830"/>
    <x v="1"/>
  </r>
  <r>
    <s v="6 Layers Steel Pipe Assembling Dustproof Storage Shoe Cabinet"/>
    <n v="899"/>
    <n v="1699"/>
    <x v="13"/>
    <x v="23"/>
    <x v="22"/>
    <s v="Excellent"/>
    <n v="800"/>
    <x v="0"/>
  </r>
  <r>
    <s v="8in1 Screwdriver With LED Light"/>
    <n v="1080"/>
    <n v="1874"/>
    <x v="24"/>
    <x v="23"/>
    <x v="22"/>
    <s v="Excellent"/>
    <n v="794"/>
    <x v="0"/>
  </r>
  <r>
    <s v="Angle Measuring Tool Full Metal Multi Angle Measuring Tool"/>
    <n v="799"/>
    <n v="1567"/>
    <x v="0"/>
    <x v="23"/>
    <x v="22"/>
    <s v="Excellent"/>
    <n v="768"/>
    <x v="0"/>
  </r>
  <r>
    <s v="2pcs Solar Street Light Flood Light Outdoor"/>
    <n v="1200"/>
    <n v="1950"/>
    <x v="31"/>
    <x v="23"/>
    <x v="22"/>
    <s v="Excellent"/>
    <n v="750"/>
    <x v="1"/>
  </r>
  <r>
    <s v="2PCS/LOT Solar LED Outdoor Intelligent Light Controlled Wall Lamp"/>
    <n v="790"/>
    <n v="1485"/>
    <x v="13"/>
    <x v="23"/>
    <x v="22"/>
    <s v="Excellent"/>
    <n v="695"/>
    <x v="0"/>
  </r>
  <r>
    <s v="Car Phone Charging Stand"/>
    <n v="671"/>
    <n v="1316"/>
    <x v="0"/>
    <x v="23"/>
    <x v="22"/>
    <s v="Excellent"/>
    <n v="645"/>
    <x v="0"/>
  </r>
  <r>
    <s v="Christmas Fence Garden Decorations Outdoor For Holiday Home"/>
    <n v="699"/>
    <n v="1343"/>
    <x v="20"/>
    <x v="23"/>
    <x v="22"/>
    <s v="Excellent"/>
    <n v="644"/>
    <x v="0"/>
  </r>
  <r>
    <s v="Cartoon Embroidered Mini Towel Bear Cotton Wash Cloth Hand 4pcs"/>
    <n v="1190"/>
    <n v="1810"/>
    <x v="3"/>
    <x v="23"/>
    <x v="22"/>
    <s v="Excellent"/>
    <n v="620"/>
    <x v="1"/>
  </r>
  <r>
    <s v="60W Hot Melt Glue Sprayer - Efficient And Stable Glue Dispensing"/>
    <n v="1190"/>
    <n v="1785"/>
    <x v="21"/>
    <x v="23"/>
    <x v="22"/>
    <s v="Excellent"/>
    <n v="595"/>
    <x v="1"/>
  </r>
  <r>
    <s v="LED Solar Street Light-fake Camera"/>
    <n v="1150"/>
    <n v="1737"/>
    <x v="3"/>
    <x v="23"/>
    <x v="22"/>
    <s v="Excellent"/>
    <n v="587"/>
    <x v="1"/>
  </r>
  <r>
    <s v="Cute Christmas Fence Garden Decorations For Holiday Home"/>
    <n v="799"/>
    <n v="1343"/>
    <x v="4"/>
    <x v="23"/>
    <x v="22"/>
    <s v="Excellent"/>
    <n v="544"/>
    <x v="0"/>
  </r>
  <r>
    <s v="3PCS Rotary Scraper Thermomix For Kitchen"/>
    <n v="690"/>
    <n v="1200"/>
    <x v="26"/>
    <x v="23"/>
    <x v="22"/>
    <s v="Excellent"/>
    <n v="510"/>
    <x v="0"/>
  </r>
  <r>
    <s v="Baby Early Education Shape And Color Cognitive Training Toys"/>
    <n v="525"/>
    <n v="1029"/>
    <x v="0"/>
    <x v="23"/>
    <x v="22"/>
    <s v="Excellent"/>
    <n v="504"/>
    <x v="0"/>
  </r>
  <r>
    <s v="Multifunctional Hanging Storage Box Storage Bag (4 Layers)"/>
    <n v="630"/>
    <n v="1100"/>
    <x v="26"/>
    <x v="23"/>
    <x v="22"/>
    <s v="Excellent"/>
    <n v="470"/>
    <x v="0"/>
  </r>
  <r>
    <s v="4M Float Switch Water Level Controller -Water Tank"/>
    <n v="475"/>
    <n v="931"/>
    <x v="0"/>
    <x v="23"/>
    <x v="22"/>
    <s v="Excellent"/>
    <n v="456"/>
    <x v="0"/>
  </r>
  <r>
    <s v="Balloon Insert, Birthday Party Balloon Set, PU Leather"/>
    <n v="610"/>
    <n v="1060"/>
    <x v="24"/>
    <x v="23"/>
    <x v="22"/>
    <s v="Excellent"/>
    <n v="450"/>
    <x v="0"/>
  </r>
  <r>
    <s v="Simple Metal Dog Art Sculpture Decoration For Home Office"/>
    <n v="499"/>
    <n v="900"/>
    <x v="8"/>
    <x v="23"/>
    <x v="22"/>
    <s v="Excellent"/>
    <n v="401"/>
    <x v="0"/>
  </r>
  <r>
    <s v="6 In 1 Bottle Can Opener Multifunctional Easy Opener"/>
    <n v="199"/>
    <n v="553"/>
    <x v="37"/>
    <x v="23"/>
    <x v="22"/>
    <s v="Excellent"/>
    <n v="354"/>
    <x v="0"/>
  </r>
  <r>
    <s v="Creative Owl Shape Keychain Black"/>
    <n v="199"/>
    <n v="504"/>
    <x v="38"/>
    <x v="23"/>
    <x v="22"/>
    <s v="Excellent"/>
    <n v="305"/>
    <x v="0"/>
  </r>
  <r>
    <s v="Brush &amp; Paintbrush Cleaning Tool Pink"/>
    <n v="299"/>
    <n v="600"/>
    <x v="22"/>
    <x v="23"/>
    <x v="22"/>
    <s v="Excellent"/>
    <n v="301"/>
    <x v="0"/>
  </r>
  <r>
    <s v="Cartoon Car Decoration Cute Individuality For Car Home Desk"/>
    <n v="274"/>
    <n v="537"/>
    <x v="0"/>
    <x v="23"/>
    <x v="22"/>
    <s v="Excellent"/>
    <n v="263"/>
    <x v="0"/>
  </r>
  <r>
    <s v="Modern Sofa Throw Pillow Cover-45x45cm-Blue&amp;Red"/>
    <n v="238"/>
    <n v="476"/>
    <x v="22"/>
    <x v="23"/>
    <x v="22"/>
    <s v="Excellent"/>
    <n v="238"/>
    <x v="0"/>
  </r>
  <r>
    <s v="4 Piece Coloured Stainless Steel Kitchenware Set"/>
    <n v="248"/>
    <n v="486"/>
    <x v="0"/>
    <x v="23"/>
    <x v="22"/>
    <s v="Excellent"/>
    <n v="238"/>
    <x v="0"/>
  </r>
  <r>
    <s v="Office Chair Lumbar Back Support Spine Posture Correction Pillow Car Cushion"/>
    <n v="1466"/>
    <n v="1699"/>
    <x v="39"/>
    <x v="23"/>
    <x v="22"/>
    <s v="Excellent"/>
    <n v="233"/>
    <x v="2"/>
  </r>
  <r>
    <s v="Wall-Mounted Toothbrush Toothpaste Holder With Multiple Slots"/>
    <n v="1468"/>
    <n v="1699"/>
    <x v="39"/>
    <x v="23"/>
    <x v="22"/>
    <s v="Excellent"/>
    <n v="231"/>
    <x v="2"/>
  </r>
  <r>
    <s v="7PCS Silicone Thumb Knife Finger Protector Vegetable Harvesting Knife"/>
    <n v="230"/>
    <n v="450"/>
    <x v="0"/>
    <x v="23"/>
    <x v="22"/>
    <s v="Excellent"/>
    <n v="220"/>
    <x v="0"/>
  </r>
  <r>
    <s v="Metal Wall Clock Silver Dial Crystal Jewelry Round Home Decoration Wall Clock"/>
    <n v="3546"/>
    <n v="3699"/>
    <x v="40"/>
    <x v="23"/>
    <x v="22"/>
    <s v="Excellent"/>
    <n v="153"/>
    <x v="2"/>
  </r>
  <r>
    <s v="Black Simple Water Cup Wine Coaster Anti Slip Absorbent"/>
    <n v="169"/>
    <n v="320"/>
    <x v="13"/>
    <x v="23"/>
    <x v="22"/>
    <s v="Excellent"/>
    <n v="151"/>
    <x v="0"/>
  </r>
  <r>
    <s v="Wall Mount Automatic Toothpaste Dispenser Toothbrush Holder Toothpaste Squeezer"/>
    <n v="1526"/>
    <n v="1660"/>
    <x v="41"/>
    <x v="23"/>
    <x v="22"/>
    <s v="Excellent"/>
    <n v="134"/>
    <x v="2"/>
  </r>
  <r>
    <s v="Outdoor Portable Water Bottle With Medicine Box - 600ML - Black"/>
    <n v="799"/>
    <n v="900"/>
    <x v="42"/>
    <x v="23"/>
    <x v="22"/>
    <s v="Excellent"/>
    <n v="101"/>
    <x v="2"/>
  </r>
  <r>
    <s v="Sewing Machine Needle Threader Stitch Insertion Tool Automatic Quick Sewing"/>
    <n v="105"/>
    <n v="200"/>
    <x v="20"/>
    <x v="23"/>
    <x v="22"/>
    <s v="Excellent"/>
    <n v="95"/>
    <x v="0"/>
  </r>
  <r>
    <s v="Pilates Cloth Bag Waterproof Durable High Capacity Purple"/>
    <n v="299"/>
    <n v="384"/>
    <x v="9"/>
    <x v="23"/>
    <x v="22"/>
    <s v="Excellent"/>
    <n v="85"/>
    <x v="1"/>
  </r>
  <r>
    <s v="Cushion Silicone Butt Cushion Summer Ice Cushion Honeycomb Gel Cushion"/>
    <n v="1732"/>
    <n v="1799"/>
    <x v="40"/>
    <x v="23"/>
    <x v="22"/>
    <s v="Excellent"/>
    <n v="67"/>
    <x v="2"/>
  </r>
  <r>
    <s v="1PC Refrigerator Food Seal Pocket Fridge Bags"/>
    <n v="198"/>
    <n v="260"/>
    <x v="1"/>
    <x v="23"/>
    <x v="22"/>
    <s v="Excellent"/>
    <n v="62"/>
    <x v="1"/>
  </r>
  <r>
    <s v="Shower Nozzle Cleaning Unclogging Needle Mini Crevice Small Hole Cleaning Brush"/>
    <n v="1658"/>
    <n v="1699"/>
    <x v="43"/>
    <x v="23"/>
    <x v="22"/>
    <s v="Excellent"/>
    <n v="41"/>
    <x v="2"/>
  </r>
  <r>
    <s v="Multi-purpose Rice Drainage Basket And Fruit And Vegetable Drainage Sieve"/>
    <n v="1459"/>
    <n v="1499"/>
    <x v="44"/>
    <x v="23"/>
    <x v="22"/>
    <s v="Excellent"/>
    <n v="40"/>
    <x v="2"/>
  </r>
  <r>
    <s v="Pen Grips For Kids Pen Grip Posture Correction Tool For Kids"/>
    <n v="1660"/>
    <n v="1699"/>
    <x v="43"/>
    <x v="23"/>
    <x v="22"/>
    <s v="Excellent"/>
    <n v="39"/>
    <x v="2"/>
  </r>
  <r>
    <s v="Shower Cap Wide Elastic Band Cover Reusable Bashroom Cap"/>
    <n v="2132"/>
    <n v="2169"/>
    <x v="43"/>
    <x v="23"/>
    <x v="22"/>
    <s v="Excellent"/>
    <n v="37"/>
    <x v="2"/>
  </r>
  <r>
    <s v="Portable Soap Dispenser Kitchen Detergent Press Box Kitchen Tools"/>
    <n v="1462"/>
    <n v="1499"/>
    <x v="43"/>
    <x v="23"/>
    <x v="22"/>
    <s v="Excellent"/>
    <n v="37"/>
    <x v="2"/>
  </r>
  <r>
    <s v="2 Pairs Cowhide Split Leather Work Gloves.32â„‰ Or Above Welding Gloves"/>
    <n v="1666"/>
    <n v="1699"/>
    <x v="43"/>
    <x v="23"/>
    <x v="22"/>
    <s v="Excellent"/>
    <n v="33"/>
    <x v="2"/>
  </r>
  <r>
    <s v="Thickening Multipurpose Non Stick Easy To Clean Heat Resistant Spoon Pad"/>
    <n v="1768"/>
    <n v="1799"/>
    <x v="43"/>
    <x v="23"/>
    <x v="22"/>
    <s v="Excellent"/>
    <n v="31"/>
    <x v="2"/>
  </r>
  <r>
    <s v="24 Grid Wall-mounted Sundries Organiser Fabric Closet Bag Storage Rack"/>
    <n v="1875"/>
    <n v="1899"/>
    <x v="45"/>
    <x v="23"/>
    <x v="22"/>
    <s v="Excellent"/>
    <n v="2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7" firstHeaderRow="1" firstDataRow="1" firstDataCol="1"/>
  <pivotFields count="9">
    <pivotField showAll="0"/>
    <pivotField numFmtId="164" showAll="0"/>
    <pivotField numFmtId="164" showAll="0"/>
    <pivotField numFmtId="9" showAll="0"/>
    <pivotField dataField="1"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25">
        <item x="21"/>
        <item x="11"/>
        <item x="18"/>
        <item x="17"/>
        <item x="19"/>
        <item x="6"/>
        <item x="8"/>
        <item x="0"/>
        <item x="7"/>
        <item x="15"/>
        <item x="13"/>
        <item x="12"/>
        <item m="1" x="23"/>
        <item x="9"/>
        <item x="5"/>
        <item x="16"/>
        <item x="3"/>
        <item x="10"/>
        <item x="4"/>
        <item x="1"/>
        <item x="2"/>
        <item x="14"/>
        <item x="20"/>
        <item x="22"/>
        <item t="default"/>
      </items>
    </pivotField>
    <pivotField showAll="0"/>
    <pivotField showAll="0"/>
    <pivotField showAll="0"/>
  </pivotFields>
  <rowFields count="1">
    <field x="5"/>
  </rowFields>
  <rowItems count="24">
    <i>
      <x/>
    </i>
    <i>
      <x v="1"/>
    </i>
    <i>
      <x v="2"/>
    </i>
    <i>
      <x v="3"/>
    </i>
    <i>
      <x v="4"/>
    </i>
    <i>
      <x v="5"/>
    </i>
    <i>
      <x v="6"/>
    </i>
    <i>
      <x v="7"/>
    </i>
    <i>
      <x v="8"/>
    </i>
    <i>
      <x v="9"/>
    </i>
    <i>
      <x v="10"/>
    </i>
    <i>
      <x v="11"/>
    </i>
    <i>
      <x v="13"/>
    </i>
    <i>
      <x v="14"/>
    </i>
    <i>
      <x v="15"/>
    </i>
    <i>
      <x v="16"/>
    </i>
    <i>
      <x v="17"/>
    </i>
    <i>
      <x v="18"/>
    </i>
    <i>
      <x v="19"/>
    </i>
    <i>
      <x v="20"/>
    </i>
    <i>
      <x v="21"/>
    </i>
    <i>
      <x v="22"/>
    </i>
    <i>
      <x v="23"/>
    </i>
    <i t="grand">
      <x/>
    </i>
  </rowItems>
  <colItems count="1">
    <i/>
  </colItems>
  <dataFields count="1">
    <dataField name="Sum of Review" fld="4" baseField="5" baseItem="18"/>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D7" firstHeaderRow="0"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dataField="1" numFmtId="10"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numFmtId="1"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 dataField="1" numFmtId="164" showAll="0"/>
    <pivotField axis="axisRow" showAll="0">
      <items count="4">
        <item x="1"/>
        <item x="2"/>
        <item x="0"/>
        <item t="default"/>
      </items>
    </pivotField>
  </pivotFields>
  <rowFields count="1">
    <field x="8"/>
  </rowFields>
  <rowItems count="4">
    <i>
      <x/>
    </i>
    <i>
      <x v="1"/>
    </i>
    <i>
      <x v="2"/>
    </i>
    <i t="grand">
      <x/>
    </i>
  </rowItems>
  <colFields count="1">
    <field x="-2"/>
  </colFields>
  <colItems count="3">
    <i>
      <x/>
    </i>
    <i i="1">
      <x v="1"/>
    </i>
    <i i="2">
      <x v="2"/>
    </i>
  </colItems>
  <dataFields count="3">
    <dataField name="Average of Rating" fld="5" subtotal="average" baseField="8" baseItem="0"/>
    <dataField name="Average of Discount" fld="3" subtotal="average" baseField="8" baseItem="0" numFmtId="10"/>
    <dataField name="Average of Discount Amount" fld="7" subtotal="average" baseField="8" baseItem="0"/>
  </dataFields>
  <formats count="2">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iscount Percentages">
  <location ref="A3:B11" firstHeaderRow="1" firstDataRow="1" firstDataCol="1"/>
  <pivotFields count="9">
    <pivotField showAll="0"/>
    <pivotField numFmtId="164" showAll="0"/>
    <pivotField numFmtId="164" showAll="0"/>
    <pivotField axis="axisRow" numFmtId="10" showAll="0">
      <items count="10">
        <item x="0"/>
        <item x="1"/>
        <item x="2"/>
        <item x="3"/>
        <item x="4"/>
        <item x="5"/>
        <item x="6"/>
        <item x="7"/>
        <item x="8"/>
        <item t="default"/>
      </items>
    </pivotField>
    <pivotField dataField="1" numFmtId="1" showAll="0"/>
    <pivotField showAll="0"/>
    <pivotField showAll="0">
      <items count="6">
        <item x="2"/>
        <item x="1"/>
        <item x="4"/>
        <item x="0"/>
        <item x="3"/>
        <item t="default"/>
      </items>
    </pivotField>
    <pivotField numFmtId="164" showAll="0"/>
    <pivotField showAll="0">
      <items count="5">
        <item x="0"/>
        <item x="2"/>
        <item x="1"/>
        <item x="3"/>
        <item t="default"/>
      </items>
    </pivotField>
  </pivotFields>
  <rowFields count="1">
    <field x="3"/>
  </rowFields>
  <rowItems count="8">
    <i>
      <x v="1"/>
    </i>
    <i>
      <x v="2"/>
    </i>
    <i>
      <x v="3"/>
    </i>
    <i>
      <x v="4"/>
    </i>
    <i>
      <x v="5"/>
    </i>
    <i>
      <x v="6"/>
    </i>
    <i>
      <x v="7"/>
    </i>
    <i t="grand">
      <x/>
    </i>
  </rowItems>
  <colItems count="1">
    <i/>
  </colItems>
  <dataFields count="1">
    <dataField name="Count of Review" fld="4" subtotal="count" baseField="3" baseItem="0"/>
  </dataFields>
  <formats count="3">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9">
    <pivotField dataField="1" showAll="0">
      <items count="110">
        <item h="1" x="38"/>
        <item h="1" x="11"/>
        <item h="1" x="0"/>
        <item h="1" x="27"/>
        <item h="1" x="31"/>
        <item h="1" x="61"/>
        <item h="1" x="57"/>
        <item h="1" x="9"/>
        <item h="1" x="6"/>
        <item h="1"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h="1" x="70"/>
        <item t="default"/>
      </items>
    </pivotField>
    <pivotField numFmtId="164" showAll="0"/>
    <pivotField numFmtId="164" showAll="0"/>
    <pivotField numFmtId="10" showAll="0"/>
    <pivotField numFmtId="1"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axis="axisRow" showAll="0">
      <items count="5">
        <item x="1"/>
        <item x="0"/>
        <item x="2"/>
        <item x="3"/>
        <item t="default"/>
      </items>
    </pivotField>
    <pivotField numFmtId="164" showAll="0"/>
    <pivotField showAll="0"/>
  </pivotFields>
  <rowFields count="1">
    <field x="6"/>
  </rowFields>
  <rowItems count="5">
    <i>
      <x/>
    </i>
    <i>
      <x v="1"/>
    </i>
    <i>
      <x v="2"/>
    </i>
    <i>
      <x v="3"/>
    </i>
    <i t="grand">
      <x/>
    </i>
  </rowItems>
  <colItems count="1">
    <i/>
  </colItems>
  <dataFields count="1">
    <dataField name="Count of Product" fld="0" subtotal="count" baseField="0" baseItem="0"/>
  </dataFields>
  <chartFormats count="6">
    <chartFormat chart="0" format="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6" count="1" selected="0">
            <x v="0"/>
          </reference>
        </references>
      </pivotArea>
    </chartFormat>
    <chartFormat chart="2" format="15">
      <pivotArea type="data" outline="0" fieldPosition="0">
        <references count="2">
          <reference field="4294967294" count="1" selected="0">
            <x v="0"/>
          </reference>
          <reference field="6" count="1" selected="0">
            <x v="1"/>
          </reference>
        </references>
      </pivotArea>
    </chartFormat>
    <chartFormat chart="2" format="16">
      <pivotArea type="data" outline="0" fieldPosition="0">
        <references count="2">
          <reference field="4294967294" count="1" selected="0">
            <x v="0"/>
          </reference>
          <reference field="6" count="1" selected="0">
            <x v="2"/>
          </reference>
        </references>
      </pivotArea>
    </chartFormat>
    <chartFormat chart="2" format="1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
  <pivotTables>
    <pivotTable tabId="10" name="PivotTable5"/>
  </pivotTables>
  <data>
    <tabular pivotCacheId="1">
      <items count="5">
        <i x="2" s="1"/>
        <i x="1"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10" name="PivotTable5"/>
  </pivotTables>
  <data>
    <tabular pivotCacheId="1">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view" sourceName="Review">
  <pivotTables>
    <pivotTable tabId="16" name="PivotTable3"/>
  </pivotTables>
  <data>
    <tabular pivotCacheId="3">
      <items count="24">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16" name="PivotTable3"/>
  </pivotTables>
  <data>
    <tabular pivotCacheId="3">
      <items count="24">
        <i x="21" s="1"/>
        <i x="11" s="1"/>
        <i x="18" s="1"/>
        <i x="17" s="1"/>
        <i x="19" s="1"/>
        <i x="6" s="1"/>
        <i x="8" s="1"/>
        <i x="0" s="1"/>
        <i x="7" s="1"/>
        <i x="15" s="1"/>
        <i x="13" s="1"/>
        <i x="12" s="1"/>
        <i x="9" s="1"/>
        <i x="5" s="1"/>
        <i x="16" s="1"/>
        <i x="3" s="1"/>
        <i x="10" s="1"/>
        <i x="4" s="1"/>
        <i x="1" s="1"/>
        <i x="2" s="1"/>
        <i x="14" s="1"/>
        <i x="20" s="1"/>
        <i x="22" s="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view" cache="Slicer_Review" caption="Review" rowHeight="241300"/>
  <slicer name="Rating" cache="Slicer_Rating" caption="Rating"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ating Category " cache="Slicer_Rating_Category" caption="Rating Category " rowHeight="241300"/>
  <slicer name="Discount Category" cache="Slicer_Discount_Category"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ating Category  1" cache="Slicer_Rating_Category" caption="Rating Category " rowHeight="241300"/>
  <slicer name="Discount Category 1" cache="Slicer_Discount_Category" caption="Discount Category" rowHeight="241300"/>
  <slicer name="Review 1" cache="Slicer_Review" caption="Review" startItem="5" rowHeight="241300"/>
  <slicer name="Rating 1" cache="Slicer_Rating" caption="Rating" startItem="8" rowHeight="241300"/>
</slicers>
</file>

<file path=xl/tables/table1.xml><?xml version="1.0" encoding="utf-8"?>
<table xmlns="http://schemas.openxmlformats.org/spreadsheetml/2006/main" id="1" name="Table1" displayName="Table1" ref="A1:K110" totalsRowShown="0" headerRowDxfId="11" tableBorderDxfId="10">
  <autoFilter ref="A1:K110"/>
  <tableColumns count="11">
    <tableColumn id="1" name="Product"/>
    <tableColumn id="2" name="Current price"/>
    <tableColumn id="3" name="old price"/>
    <tableColumn id="4" name="Discount"/>
    <tableColumn id="5" name="Review"/>
    <tableColumn id="6" name="Rating"/>
    <tableColumn id="7" name="Rating Category ">
      <calculatedColumnFormula>IF(F2="Not Provided","N/A",IF(F2&lt;3,"Poor",IF(F2&lt;=4.4,"Average","Excellent")))</calculatedColumnFormula>
    </tableColumn>
    <tableColumn id="8" name="Discount Amount">
      <calculatedColumnFormula>C2-B2</calculatedColumnFormula>
    </tableColumn>
    <tableColumn id="9" name="Discount Category">
      <calculatedColumnFormula>IF(D2&lt;20%,"Low",IF(D2&lt;=40%,"Medium","High"))</calculatedColumnFormula>
    </tableColumn>
    <tableColumn id="10" name="Column1"/>
    <tableColumn id="11"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6"/>
  <sheetViews>
    <sheetView workbookViewId="0">
      <selection activeCell="J20" sqref="J20"/>
    </sheetView>
  </sheetViews>
  <sheetFormatPr defaultRowHeight="15" x14ac:dyDescent="0.25"/>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B117"/>
  <sheetViews>
    <sheetView workbookViewId="0">
      <pane ySplit="1" topLeftCell="A2" activePane="bottomLeft" state="frozen"/>
      <selection pane="bottomLeft" activeCell="C71" sqref="C71"/>
    </sheetView>
  </sheetViews>
  <sheetFormatPr defaultRowHeight="15" x14ac:dyDescent="0.25"/>
  <cols>
    <col min="1" max="1" width="45.7109375" customWidth="1"/>
    <col min="2" max="2" width="19.5703125" style="3" bestFit="1" customWidth="1"/>
    <col min="3" max="3" width="11.7109375" style="3" bestFit="1" customWidth="1"/>
    <col min="4" max="4" width="11" style="1" bestFit="1" customWidth="1"/>
    <col min="5" max="5" width="9.85546875" style="5" bestFit="1" customWidth="1"/>
    <col min="6" max="6" width="12.7109375" bestFit="1" customWidth="1"/>
    <col min="7" max="7" width="17.42578125" customWidth="1"/>
    <col min="8" max="8" width="18.7109375" bestFit="1" customWidth="1"/>
    <col min="9" max="9" width="19.5703125" bestFit="1" customWidth="1"/>
  </cols>
  <sheetData>
    <row r="1" spans="1:9" s="2" customFormat="1" x14ac:dyDescent="0.25">
      <c r="A1" s="2" t="s">
        <v>0</v>
      </c>
      <c r="B1" s="16" t="s">
        <v>1</v>
      </c>
      <c r="C1" s="16" t="s">
        <v>2</v>
      </c>
      <c r="D1" s="17" t="s">
        <v>3</v>
      </c>
      <c r="E1" s="2" t="s">
        <v>4</v>
      </c>
      <c r="F1" s="2" t="s">
        <v>323</v>
      </c>
      <c r="G1" s="2" t="s">
        <v>326</v>
      </c>
      <c r="H1" s="2" t="s">
        <v>325</v>
      </c>
      <c r="I1" s="2" t="s">
        <v>324</v>
      </c>
    </row>
    <row r="2" spans="1:9" x14ac:dyDescent="0.25">
      <c r="A2" t="s">
        <v>194</v>
      </c>
      <c r="B2" s="3">
        <v>445</v>
      </c>
      <c r="C2" s="3">
        <v>873</v>
      </c>
      <c r="D2" s="1">
        <v>0.49</v>
      </c>
      <c r="E2">
        <v>69</v>
      </c>
      <c r="F2">
        <v>2.8</v>
      </c>
      <c r="G2" t="str">
        <f t="shared" ref="G2:G65" si="0">IF(F2="Not Provided","N/A",IF(F2&lt;3,"Poor",IF(F2&lt;=4.4,"Average","Excellent")))</f>
        <v>Poor</v>
      </c>
      <c r="H2">
        <f t="shared" ref="H2:H33" si="1">C2-B2</f>
        <v>428</v>
      </c>
      <c r="I2" t="str">
        <f t="shared" ref="I2:I65" si="2">IF(D2&lt;20%,"Low",IF(D2&lt;=40%,"Medium","High"))</f>
        <v>High</v>
      </c>
    </row>
    <row r="3" spans="1:9" x14ac:dyDescent="0.25">
      <c r="A3" t="s">
        <v>30</v>
      </c>
      <c r="B3" s="3">
        <v>2319</v>
      </c>
      <c r="C3" s="3">
        <v>3032</v>
      </c>
      <c r="D3" s="1">
        <v>0.24</v>
      </c>
      <c r="E3">
        <v>55</v>
      </c>
      <c r="F3">
        <v>4.5999999999999996</v>
      </c>
      <c r="G3" t="str">
        <f t="shared" si="0"/>
        <v>Excellent</v>
      </c>
      <c r="H3">
        <f t="shared" si="1"/>
        <v>713</v>
      </c>
      <c r="I3" t="str">
        <f t="shared" si="2"/>
        <v>Medium</v>
      </c>
    </row>
    <row r="4" spans="1:9" x14ac:dyDescent="0.25">
      <c r="A4" t="s">
        <v>89</v>
      </c>
      <c r="B4" s="3">
        <v>420</v>
      </c>
      <c r="C4" s="3">
        <v>647</v>
      </c>
      <c r="D4" s="1">
        <v>0.35</v>
      </c>
      <c r="E4">
        <v>49</v>
      </c>
      <c r="F4">
        <v>4.5999999999999996</v>
      </c>
      <c r="G4" t="str">
        <f t="shared" si="0"/>
        <v>Excellent</v>
      </c>
      <c r="H4">
        <f t="shared" si="1"/>
        <v>227</v>
      </c>
      <c r="I4" t="str">
        <f t="shared" si="2"/>
        <v>Medium</v>
      </c>
    </row>
    <row r="5" spans="1:9" x14ac:dyDescent="0.25">
      <c r="A5" t="s">
        <v>68</v>
      </c>
      <c r="B5" s="3">
        <v>998</v>
      </c>
      <c r="C5" s="3">
        <v>1966</v>
      </c>
      <c r="D5" s="1">
        <v>0.49</v>
      </c>
      <c r="E5">
        <v>44</v>
      </c>
      <c r="F5">
        <v>4.5999999999999996</v>
      </c>
      <c r="G5" t="str">
        <f t="shared" si="0"/>
        <v>Excellent</v>
      </c>
      <c r="H5">
        <f t="shared" si="1"/>
        <v>968</v>
      </c>
      <c r="I5" t="str">
        <f t="shared" si="2"/>
        <v>High</v>
      </c>
    </row>
    <row r="6" spans="1:9" x14ac:dyDescent="0.25">
      <c r="A6" t="s">
        <v>44</v>
      </c>
      <c r="B6" s="3">
        <v>990</v>
      </c>
      <c r="C6" s="3">
        <v>1500</v>
      </c>
      <c r="D6" s="1">
        <v>0.34</v>
      </c>
      <c r="E6">
        <v>39</v>
      </c>
      <c r="F6">
        <v>4.7</v>
      </c>
      <c r="G6" t="str">
        <f t="shared" si="0"/>
        <v>Excellent</v>
      </c>
      <c r="H6">
        <f t="shared" si="1"/>
        <v>510</v>
      </c>
      <c r="I6" t="str">
        <f t="shared" si="2"/>
        <v>Medium</v>
      </c>
    </row>
    <row r="7" spans="1:9" x14ac:dyDescent="0.25">
      <c r="A7" t="s">
        <v>122</v>
      </c>
      <c r="B7" s="3">
        <v>389</v>
      </c>
      <c r="C7" s="3">
        <v>656</v>
      </c>
      <c r="D7" s="1">
        <v>0.41</v>
      </c>
      <c r="E7">
        <v>36</v>
      </c>
      <c r="F7">
        <v>4.3</v>
      </c>
      <c r="G7" t="str">
        <f t="shared" si="0"/>
        <v>Average</v>
      </c>
      <c r="H7">
        <f t="shared" si="1"/>
        <v>267</v>
      </c>
      <c r="I7" t="str">
        <f t="shared" si="2"/>
        <v>High</v>
      </c>
    </row>
    <row r="8" spans="1:9" x14ac:dyDescent="0.25">
      <c r="A8" t="s">
        <v>114</v>
      </c>
      <c r="B8" s="3">
        <v>1980</v>
      </c>
      <c r="C8" s="3">
        <v>2699</v>
      </c>
      <c r="D8" s="1">
        <v>0.27</v>
      </c>
      <c r="E8">
        <v>32</v>
      </c>
      <c r="F8">
        <v>4.5</v>
      </c>
      <c r="G8" t="str">
        <f t="shared" si="0"/>
        <v>Excellent</v>
      </c>
      <c r="H8">
        <f t="shared" si="1"/>
        <v>719</v>
      </c>
      <c r="I8" t="str">
        <f t="shared" si="2"/>
        <v>Medium</v>
      </c>
    </row>
    <row r="9" spans="1:9" x14ac:dyDescent="0.25">
      <c r="A9" t="s">
        <v>14</v>
      </c>
      <c r="B9" s="3">
        <v>2199</v>
      </c>
      <c r="C9" s="3">
        <v>2923</v>
      </c>
      <c r="D9" s="1">
        <v>0.25</v>
      </c>
      <c r="E9">
        <v>24</v>
      </c>
      <c r="F9">
        <v>4.5999999999999996</v>
      </c>
      <c r="G9" t="str">
        <f t="shared" si="0"/>
        <v>Excellent</v>
      </c>
      <c r="H9">
        <f t="shared" si="1"/>
        <v>724</v>
      </c>
      <c r="I9" t="str">
        <f t="shared" si="2"/>
        <v>Medium</v>
      </c>
    </row>
    <row r="10" spans="1:9" x14ac:dyDescent="0.25">
      <c r="A10" t="s">
        <v>97</v>
      </c>
      <c r="B10" s="3">
        <v>1758</v>
      </c>
      <c r="C10" s="3">
        <v>2499</v>
      </c>
      <c r="D10" s="1">
        <v>0.3</v>
      </c>
      <c r="E10">
        <v>20</v>
      </c>
      <c r="F10">
        <v>4.0999999999999996</v>
      </c>
      <c r="G10" t="str">
        <f t="shared" si="0"/>
        <v>Average</v>
      </c>
      <c r="H10">
        <f t="shared" si="1"/>
        <v>741</v>
      </c>
      <c r="I10" t="str">
        <f t="shared" si="2"/>
        <v>Medium</v>
      </c>
    </row>
    <row r="11" spans="1:9" x14ac:dyDescent="0.25">
      <c r="A11" t="s">
        <v>111</v>
      </c>
      <c r="B11" s="3">
        <v>1940</v>
      </c>
      <c r="C11" s="3">
        <v>2650</v>
      </c>
      <c r="D11" s="1">
        <v>0.27</v>
      </c>
      <c r="E11">
        <v>20</v>
      </c>
      <c r="F11">
        <v>4.7</v>
      </c>
      <c r="G11" t="str">
        <f t="shared" si="0"/>
        <v>Excellent</v>
      </c>
      <c r="H11">
        <f t="shared" si="1"/>
        <v>710</v>
      </c>
      <c r="I11" t="str">
        <f t="shared" si="2"/>
        <v>Medium</v>
      </c>
    </row>
    <row r="12" spans="1:9" x14ac:dyDescent="0.25">
      <c r="A12" t="s">
        <v>215</v>
      </c>
      <c r="B12" s="3">
        <v>382</v>
      </c>
      <c r="C12" s="3">
        <v>700</v>
      </c>
      <c r="D12" s="1">
        <v>0.45</v>
      </c>
      <c r="E12">
        <v>17</v>
      </c>
      <c r="F12">
        <v>2.6</v>
      </c>
      <c r="G12" t="str">
        <f t="shared" si="0"/>
        <v>Poor</v>
      </c>
      <c r="H12">
        <f t="shared" si="1"/>
        <v>318</v>
      </c>
      <c r="I12" t="str">
        <f t="shared" si="2"/>
        <v>High</v>
      </c>
    </row>
    <row r="13" spans="1:9" x14ac:dyDescent="0.25">
      <c r="A13" t="s">
        <v>202</v>
      </c>
      <c r="B13" s="3">
        <v>1220</v>
      </c>
      <c r="C13" s="3">
        <v>1555</v>
      </c>
      <c r="D13" s="1">
        <v>0.22</v>
      </c>
      <c r="E13">
        <v>16</v>
      </c>
      <c r="F13">
        <v>2.9</v>
      </c>
      <c r="G13" t="str">
        <f t="shared" si="0"/>
        <v>Poor</v>
      </c>
      <c r="H13">
        <f t="shared" si="1"/>
        <v>335</v>
      </c>
      <c r="I13" t="str">
        <f t="shared" si="2"/>
        <v>Medium</v>
      </c>
    </row>
    <row r="14" spans="1:9" x14ac:dyDescent="0.25">
      <c r="A14" t="s">
        <v>198</v>
      </c>
      <c r="B14" s="3">
        <v>325</v>
      </c>
      <c r="C14" s="3">
        <v>680</v>
      </c>
      <c r="D14" s="1">
        <v>0.52</v>
      </c>
      <c r="E14">
        <v>15</v>
      </c>
      <c r="F14">
        <v>2.7</v>
      </c>
      <c r="G14" t="str">
        <f t="shared" si="0"/>
        <v>Poor</v>
      </c>
      <c r="H14">
        <f t="shared" si="1"/>
        <v>355</v>
      </c>
      <c r="I14" t="str">
        <f t="shared" si="2"/>
        <v>High</v>
      </c>
    </row>
    <row r="15" spans="1:9" x14ac:dyDescent="0.25">
      <c r="A15" t="s">
        <v>26</v>
      </c>
      <c r="B15" s="3">
        <v>2999</v>
      </c>
      <c r="C15" s="3">
        <v>3290</v>
      </c>
      <c r="D15" s="1">
        <v>0.09</v>
      </c>
      <c r="E15">
        <v>15</v>
      </c>
      <c r="F15">
        <v>4</v>
      </c>
      <c r="G15" t="str">
        <f t="shared" si="0"/>
        <v>Average</v>
      </c>
      <c r="H15">
        <f t="shared" si="1"/>
        <v>291</v>
      </c>
      <c r="I15" t="str">
        <f t="shared" si="2"/>
        <v>Low</v>
      </c>
    </row>
    <row r="16" spans="1:9" x14ac:dyDescent="0.25">
      <c r="A16" t="s">
        <v>81</v>
      </c>
      <c r="B16" s="3">
        <v>1650</v>
      </c>
      <c r="C16" s="3">
        <v>2150</v>
      </c>
      <c r="D16" s="1">
        <v>0.23</v>
      </c>
      <c r="E16">
        <v>14</v>
      </c>
      <c r="F16">
        <v>4.4000000000000004</v>
      </c>
      <c r="G16" t="str">
        <f t="shared" si="0"/>
        <v>Average</v>
      </c>
      <c r="H16">
        <f t="shared" si="1"/>
        <v>500</v>
      </c>
      <c r="I16" t="str">
        <f t="shared" si="2"/>
        <v>Medium</v>
      </c>
    </row>
    <row r="17" spans="1:9" x14ac:dyDescent="0.25">
      <c r="A17" t="s">
        <v>10</v>
      </c>
      <c r="B17" s="3">
        <v>527</v>
      </c>
      <c r="C17" s="3">
        <v>999</v>
      </c>
      <c r="D17" s="1">
        <v>0.47</v>
      </c>
      <c r="E17">
        <v>14</v>
      </c>
      <c r="F17">
        <v>4.0999999999999996</v>
      </c>
      <c r="G17" t="str">
        <f t="shared" si="0"/>
        <v>Average</v>
      </c>
      <c r="H17">
        <f t="shared" si="1"/>
        <v>472</v>
      </c>
      <c r="I17" t="str">
        <f t="shared" si="2"/>
        <v>High</v>
      </c>
    </row>
    <row r="18" spans="1:9" x14ac:dyDescent="0.25">
      <c r="A18" t="s">
        <v>190</v>
      </c>
      <c r="B18" s="3">
        <v>2115</v>
      </c>
      <c r="C18" s="3">
        <v>4700</v>
      </c>
      <c r="D18" s="1">
        <v>0.55000000000000004</v>
      </c>
      <c r="E18">
        <v>13</v>
      </c>
      <c r="F18">
        <v>2.1</v>
      </c>
      <c r="G18" t="str">
        <f t="shared" si="0"/>
        <v>Poor</v>
      </c>
      <c r="H18">
        <f t="shared" si="1"/>
        <v>2585</v>
      </c>
      <c r="I18" t="str">
        <f t="shared" si="2"/>
        <v>High</v>
      </c>
    </row>
    <row r="19" spans="1:9" x14ac:dyDescent="0.25">
      <c r="A19" t="s">
        <v>95</v>
      </c>
      <c r="B19" s="3">
        <v>1350</v>
      </c>
      <c r="C19" s="3">
        <v>1990</v>
      </c>
      <c r="D19" s="1">
        <v>0.32</v>
      </c>
      <c r="E19">
        <v>13</v>
      </c>
      <c r="F19">
        <v>3.8</v>
      </c>
      <c r="G19" t="str">
        <f t="shared" si="0"/>
        <v>Average</v>
      </c>
      <c r="H19">
        <f t="shared" si="1"/>
        <v>640</v>
      </c>
      <c r="I19" t="str">
        <f t="shared" si="2"/>
        <v>Medium</v>
      </c>
    </row>
    <row r="20" spans="1:9" x14ac:dyDescent="0.25">
      <c r="A20" t="s">
        <v>71</v>
      </c>
      <c r="B20" s="3">
        <v>38</v>
      </c>
      <c r="C20" s="3">
        <v>80</v>
      </c>
      <c r="D20" s="1">
        <v>0.53</v>
      </c>
      <c r="E20">
        <v>13</v>
      </c>
      <c r="F20">
        <v>3.3</v>
      </c>
      <c r="G20" t="str">
        <f t="shared" si="0"/>
        <v>Average</v>
      </c>
      <c r="H20">
        <f t="shared" si="1"/>
        <v>42</v>
      </c>
      <c r="I20" t="str">
        <f t="shared" si="2"/>
        <v>High</v>
      </c>
    </row>
    <row r="21" spans="1:9" x14ac:dyDescent="0.25">
      <c r="A21" t="s">
        <v>92</v>
      </c>
      <c r="B21" s="3">
        <v>2880</v>
      </c>
      <c r="C21" s="3">
        <v>3520</v>
      </c>
      <c r="D21" s="1">
        <v>0.18</v>
      </c>
      <c r="E21">
        <v>12</v>
      </c>
      <c r="F21">
        <v>3.8</v>
      </c>
      <c r="G21" t="str">
        <f t="shared" si="0"/>
        <v>Average</v>
      </c>
      <c r="H21">
        <f t="shared" si="1"/>
        <v>640</v>
      </c>
      <c r="I21" t="str">
        <f t="shared" si="2"/>
        <v>Low</v>
      </c>
    </row>
    <row r="22" spans="1:9" x14ac:dyDescent="0.25">
      <c r="A22" t="s">
        <v>105</v>
      </c>
      <c r="B22" s="3">
        <v>980</v>
      </c>
      <c r="C22" s="3">
        <v>1490</v>
      </c>
      <c r="D22" s="1">
        <v>0.34</v>
      </c>
      <c r="E22">
        <v>12</v>
      </c>
      <c r="F22">
        <v>4.7</v>
      </c>
      <c r="G22" t="str">
        <f t="shared" si="0"/>
        <v>Excellent</v>
      </c>
      <c r="H22">
        <f t="shared" si="1"/>
        <v>510</v>
      </c>
      <c r="I22" t="str">
        <f t="shared" si="2"/>
        <v>Medium</v>
      </c>
    </row>
    <row r="23" spans="1:9" x14ac:dyDescent="0.25">
      <c r="A23" t="s">
        <v>47</v>
      </c>
      <c r="B23" s="3">
        <v>552</v>
      </c>
      <c r="C23" s="3">
        <v>1035</v>
      </c>
      <c r="D23" s="1">
        <v>0.47</v>
      </c>
      <c r="E23">
        <v>12</v>
      </c>
      <c r="F23">
        <v>4.8</v>
      </c>
      <c r="G23" t="str">
        <f t="shared" si="0"/>
        <v>Excellent</v>
      </c>
      <c r="H23">
        <f t="shared" si="1"/>
        <v>483</v>
      </c>
      <c r="I23" t="str">
        <f t="shared" si="2"/>
        <v>High</v>
      </c>
    </row>
    <row r="24" spans="1:9" x14ac:dyDescent="0.25">
      <c r="A24" t="s">
        <v>42</v>
      </c>
      <c r="B24" s="3">
        <v>799</v>
      </c>
      <c r="C24" s="3">
        <v>999</v>
      </c>
      <c r="D24" s="1">
        <v>0.2</v>
      </c>
      <c r="E24">
        <v>12</v>
      </c>
      <c r="F24">
        <v>4.0999999999999996</v>
      </c>
      <c r="G24" t="str">
        <f t="shared" si="0"/>
        <v>Average</v>
      </c>
      <c r="H24">
        <f t="shared" si="1"/>
        <v>200</v>
      </c>
      <c r="I24" t="str">
        <f t="shared" si="2"/>
        <v>Medium</v>
      </c>
    </row>
    <row r="25" spans="1:9" x14ac:dyDescent="0.25">
      <c r="A25" t="s">
        <v>186</v>
      </c>
      <c r="B25" s="3">
        <v>458</v>
      </c>
      <c r="C25" s="3">
        <v>986</v>
      </c>
      <c r="D25" s="1">
        <v>0.54</v>
      </c>
      <c r="E25">
        <v>10</v>
      </c>
      <c r="F25">
        <v>3</v>
      </c>
      <c r="G25" t="str">
        <f t="shared" si="0"/>
        <v>Average</v>
      </c>
      <c r="H25">
        <f t="shared" si="1"/>
        <v>528</v>
      </c>
      <c r="I25" t="str">
        <f t="shared" si="2"/>
        <v>High</v>
      </c>
    </row>
    <row r="26" spans="1:9" x14ac:dyDescent="0.25">
      <c r="A26" t="s">
        <v>108</v>
      </c>
      <c r="B26" s="3">
        <v>1820</v>
      </c>
      <c r="C26" s="3">
        <v>3490</v>
      </c>
      <c r="D26" s="1">
        <v>0.48</v>
      </c>
      <c r="E26">
        <v>9</v>
      </c>
      <c r="F26">
        <v>4.3</v>
      </c>
      <c r="G26" t="str">
        <f t="shared" si="0"/>
        <v>Average</v>
      </c>
      <c r="H26">
        <f t="shared" si="1"/>
        <v>1670</v>
      </c>
      <c r="I26" t="str">
        <f t="shared" si="2"/>
        <v>High</v>
      </c>
    </row>
    <row r="27" spans="1:9" x14ac:dyDescent="0.25">
      <c r="A27" t="s">
        <v>53</v>
      </c>
      <c r="B27" s="3">
        <v>1680</v>
      </c>
      <c r="C27" s="3">
        <v>2499</v>
      </c>
      <c r="D27" s="1">
        <v>0.33</v>
      </c>
      <c r="E27">
        <v>9</v>
      </c>
      <c r="F27">
        <v>4.2</v>
      </c>
      <c r="G27" t="str">
        <f t="shared" si="0"/>
        <v>Average</v>
      </c>
      <c r="H27">
        <f t="shared" si="1"/>
        <v>819</v>
      </c>
      <c r="I27" t="str">
        <f t="shared" si="2"/>
        <v>Medium</v>
      </c>
    </row>
    <row r="28" spans="1:9" x14ac:dyDescent="0.25">
      <c r="A28" t="s">
        <v>102</v>
      </c>
      <c r="B28" s="3">
        <v>185</v>
      </c>
      <c r="C28" s="3">
        <v>382</v>
      </c>
      <c r="D28" s="1">
        <v>0.52</v>
      </c>
      <c r="E28">
        <v>9</v>
      </c>
      <c r="F28">
        <v>4.3</v>
      </c>
      <c r="G28" t="str">
        <f t="shared" si="0"/>
        <v>Average</v>
      </c>
      <c r="H28">
        <f t="shared" si="1"/>
        <v>197</v>
      </c>
      <c r="I28" t="str">
        <f t="shared" si="2"/>
        <v>High</v>
      </c>
    </row>
    <row r="29" spans="1:9" x14ac:dyDescent="0.25">
      <c r="A29" t="s">
        <v>85</v>
      </c>
      <c r="B29" s="3">
        <v>2048</v>
      </c>
      <c r="C29" s="3">
        <v>4500</v>
      </c>
      <c r="D29" s="1">
        <v>0.54</v>
      </c>
      <c r="E29">
        <v>7</v>
      </c>
      <c r="F29">
        <v>4.3</v>
      </c>
      <c r="G29" t="str">
        <f t="shared" si="0"/>
        <v>Average</v>
      </c>
      <c r="H29">
        <f t="shared" si="1"/>
        <v>2452</v>
      </c>
      <c r="I29" t="str">
        <f t="shared" si="2"/>
        <v>High</v>
      </c>
    </row>
    <row r="30" spans="1:9" x14ac:dyDescent="0.25">
      <c r="A30" t="s">
        <v>229</v>
      </c>
      <c r="B30" s="3">
        <v>1570</v>
      </c>
      <c r="C30" s="3">
        <v>2988</v>
      </c>
      <c r="D30" s="1">
        <v>0.47</v>
      </c>
      <c r="E30">
        <v>7</v>
      </c>
      <c r="F30">
        <v>2.1</v>
      </c>
      <c r="G30" t="str">
        <f t="shared" si="0"/>
        <v>Poor</v>
      </c>
      <c r="H30">
        <f t="shared" si="1"/>
        <v>1418</v>
      </c>
      <c r="I30" t="str">
        <f t="shared" si="2"/>
        <v>High</v>
      </c>
    </row>
    <row r="31" spans="1:9" x14ac:dyDescent="0.25">
      <c r="A31" t="s">
        <v>209</v>
      </c>
      <c r="B31" s="3">
        <v>1000</v>
      </c>
      <c r="C31" s="3">
        <v>2000</v>
      </c>
      <c r="D31" s="1">
        <v>0.5</v>
      </c>
      <c r="E31">
        <v>7</v>
      </c>
      <c r="F31">
        <v>2.2999999999999998</v>
      </c>
      <c r="G31" t="str">
        <f t="shared" si="0"/>
        <v>Poor</v>
      </c>
      <c r="H31">
        <f t="shared" si="1"/>
        <v>1000</v>
      </c>
      <c r="I31" t="str">
        <f t="shared" si="2"/>
        <v>High</v>
      </c>
    </row>
    <row r="32" spans="1:9" x14ac:dyDescent="0.25">
      <c r="A32" t="s">
        <v>18</v>
      </c>
      <c r="B32" s="3">
        <v>1580</v>
      </c>
      <c r="C32" s="3">
        <v>2499</v>
      </c>
      <c r="D32" s="1">
        <v>0.37</v>
      </c>
      <c r="E32">
        <v>7</v>
      </c>
      <c r="F32">
        <v>4.7</v>
      </c>
      <c r="G32" t="str">
        <f t="shared" si="0"/>
        <v>Excellent</v>
      </c>
      <c r="H32">
        <f t="shared" si="1"/>
        <v>919</v>
      </c>
      <c r="I32" t="str">
        <f t="shared" si="2"/>
        <v>Medium</v>
      </c>
    </row>
    <row r="33" spans="1:9 16382:16382" x14ac:dyDescent="0.25">
      <c r="A33" t="s">
        <v>227</v>
      </c>
      <c r="B33" s="3">
        <v>968</v>
      </c>
      <c r="C33" s="3">
        <v>1814</v>
      </c>
      <c r="D33" s="1">
        <v>0.47</v>
      </c>
      <c r="E33">
        <v>6</v>
      </c>
      <c r="F33">
        <v>2.2000000000000002</v>
      </c>
      <c r="G33" t="str">
        <f t="shared" si="0"/>
        <v>Poor</v>
      </c>
      <c r="H33">
        <f t="shared" si="1"/>
        <v>846</v>
      </c>
      <c r="I33" t="str">
        <f t="shared" si="2"/>
        <v>High</v>
      </c>
    </row>
    <row r="34" spans="1:9 16382:16382" x14ac:dyDescent="0.25">
      <c r="A34" t="s">
        <v>206</v>
      </c>
      <c r="B34" s="3">
        <v>990</v>
      </c>
      <c r="C34" s="3">
        <v>1814</v>
      </c>
      <c r="D34" s="1">
        <v>0.45</v>
      </c>
      <c r="E34">
        <v>6</v>
      </c>
      <c r="F34">
        <v>2.2000000000000002</v>
      </c>
      <c r="G34" t="str">
        <f t="shared" si="0"/>
        <v>Poor</v>
      </c>
      <c r="H34">
        <f t="shared" ref="H34:H65" si="3">C34-B34</f>
        <v>824</v>
      </c>
      <c r="I34" t="str">
        <f t="shared" si="2"/>
        <v>High</v>
      </c>
    </row>
    <row r="35" spans="1:9 16382:16382" x14ac:dyDescent="0.25">
      <c r="A35" t="s">
        <v>78</v>
      </c>
      <c r="B35" s="3">
        <v>880</v>
      </c>
      <c r="C35" s="3">
        <v>1350</v>
      </c>
      <c r="D35" s="1">
        <v>0.35</v>
      </c>
      <c r="E35">
        <v>6</v>
      </c>
      <c r="F35">
        <v>4</v>
      </c>
      <c r="G35" t="str">
        <f t="shared" si="0"/>
        <v>Average</v>
      </c>
      <c r="H35">
        <f t="shared" si="3"/>
        <v>470</v>
      </c>
      <c r="I35" t="str">
        <f t="shared" si="2"/>
        <v>Medium</v>
      </c>
    </row>
    <row r="36" spans="1:9 16382:16382" x14ac:dyDescent="0.25">
      <c r="A36" t="s">
        <v>50</v>
      </c>
      <c r="B36" s="3">
        <v>501</v>
      </c>
      <c r="C36" s="3">
        <v>860</v>
      </c>
      <c r="D36" s="1">
        <v>0.42</v>
      </c>
      <c r="E36">
        <v>6</v>
      </c>
      <c r="F36">
        <v>4.5</v>
      </c>
      <c r="G36" t="str">
        <f t="shared" si="0"/>
        <v>Excellent</v>
      </c>
      <c r="H36">
        <f t="shared" si="3"/>
        <v>359</v>
      </c>
      <c r="I36" t="str">
        <f t="shared" si="2"/>
        <v>High</v>
      </c>
    </row>
    <row r="37" spans="1:9 16382:16382" x14ac:dyDescent="0.25">
      <c r="A37" t="s">
        <v>182</v>
      </c>
      <c r="B37" s="3">
        <v>2170</v>
      </c>
      <c r="C37" s="3">
        <v>2500</v>
      </c>
      <c r="D37" s="1">
        <v>0.13</v>
      </c>
      <c r="E37">
        <v>6</v>
      </c>
      <c r="F37">
        <v>2.5</v>
      </c>
      <c r="G37" t="str">
        <f t="shared" si="0"/>
        <v>Poor</v>
      </c>
      <c r="H37">
        <f t="shared" si="3"/>
        <v>330</v>
      </c>
      <c r="I37" t="str">
        <f t="shared" si="2"/>
        <v>Low</v>
      </c>
    </row>
    <row r="38" spans="1:9 16382:16382" x14ac:dyDescent="0.25">
      <c r="A38" t="s">
        <v>221</v>
      </c>
      <c r="B38" s="3">
        <v>345</v>
      </c>
      <c r="C38" s="3">
        <v>602</v>
      </c>
      <c r="D38" s="1">
        <v>0.43</v>
      </c>
      <c r="E38">
        <v>6</v>
      </c>
      <c r="F38">
        <v>2.2999999999999998</v>
      </c>
      <c r="G38" t="str">
        <f t="shared" si="0"/>
        <v>Poor</v>
      </c>
      <c r="H38">
        <f t="shared" si="3"/>
        <v>257</v>
      </c>
      <c r="I38" t="str">
        <f t="shared" si="2"/>
        <v>High</v>
      </c>
    </row>
    <row r="39" spans="1:9 16382:16382" x14ac:dyDescent="0.25">
      <c r="A39" t="s">
        <v>212</v>
      </c>
      <c r="B39" s="3">
        <v>3750</v>
      </c>
      <c r="C39" s="3">
        <v>6143</v>
      </c>
      <c r="D39" s="1">
        <v>0.39</v>
      </c>
      <c r="E39">
        <v>5</v>
      </c>
      <c r="F39">
        <v>3</v>
      </c>
      <c r="G39" t="str">
        <f t="shared" si="0"/>
        <v>Average</v>
      </c>
      <c r="H39">
        <f t="shared" si="3"/>
        <v>2393</v>
      </c>
      <c r="I39" t="str">
        <f t="shared" si="2"/>
        <v>Medium</v>
      </c>
    </row>
    <row r="40" spans="1:9 16382:16382" x14ac:dyDescent="0.25">
      <c r="A40" t="s">
        <v>35</v>
      </c>
      <c r="B40" s="3">
        <v>1274</v>
      </c>
      <c r="C40" s="3">
        <v>2800</v>
      </c>
      <c r="D40" s="1">
        <v>0.55000000000000004</v>
      </c>
      <c r="E40">
        <v>5</v>
      </c>
      <c r="F40">
        <v>4.8</v>
      </c>
      <c r="G40" t="str">
        <f t="shared" si="0"/>
        <v>Excellent</v>
      </c>
      <c r="H40">
        <f t="shared" si="3"/>
        <v>1526</v>
      </c>
      <c r="I40" t="str">
        <f t="shared" si="2"/>
        <v>High</v>
      </c>
    </row>
    <row r="41" spans="1:9 16382:16382" x14ac:dyDescent="0.25">
      <c r="A41" t="s">
        <v>38</v>
      </c>
      <c r="B41" s="3">
        <v>1600</v>
      </c>
      <c r="C41" s="3">
        <v>2929</v>
      </c>
      <c r="D41" s="1">
        <v>0.45</v>
      </c>
      <c r="E41">
        <v>5</v>
      </c>
      <c r="F41">
        <v>3.8</v>
      </c>
      <c r="G41" t="str">
        <f t="shared" si="0"/>
        <v>Average</v>
      </c>
      <c r="H41">
        <f t="shared" si="3"/>
        <v>1329</v>
      </c>
      <c r="I41" t="str">
        <f t="shared" si="2"/>
        <v>High</v>
      </c>
    </row>
    <row r="42" spans="1:9 16382:16382" x14ac:dyDescent="0.25">
      <c r="A42" t="s">
        <v>218</v>
      </c>
      <c r="B42" s="3">
        <v>2300</v>
      </c>
      <c r="C42" s="3">
        <v>3240</v>
      </c>
      <c r="D42" s="1">
        <v>0.28999999999999998</v>
      </c>
      <c r="E42">
        <v>5</v>
      </c>
      <c r="F42">
        <v>3</v>
      </c>
      <c r="G42" t="str">
        <f t="shared" si="0"/>
        <v>Average</v>
      </c>
      <c r="H42">
        <f t="shared" si="3"/>
        <v>940</v>
      </c>
      <c r="I42" t="str">
        <f t="shared" si="2"/>
        <v>Medium</v>
      </c>
    </row>
    <row r="43" spans="1:9 16382:16382" x14ac:dyDescent="0.25">
      <c r="A43" t="s">
        <v>66</v>
      </c>
      <c r="B43" s="3">
        <v>2999</v>
      </c>
      <c r="C43" s="3">
        <v>3699</v>
      </c>
      <c r="D43" s="1">
        <v>0.19</v>
      </c>
      <c r="E43">
        <v>5</v>
      </c>
      <c r="F43">
        <v>4.5999999999999996</v>
      </c>
      <c r="G43" t="str">
        <f t="shared" si="0"/>
        <v>Excellent</v>
      </c>
      <c r="H43">
        <f t="shared" si="3"/>
        <v>700</v>
      </c>
      <c r="I43" t="str">
        <f t="shared" si="2"/>
        <v>Low</v>
      </c>
    </row>
    <row r="44" spans="1:9 16382:16382" x14ac:dyDescent="0.25">
      <c r="A44" t="s">
        <v>22</v>
      </c>
      <c r="B44" s="3">
        <v>1740</v>
      </c>
      <c r="C44" s="3">
        <v>2356</v>
      </c>
      <c r="D44" s="1">
        <v>0.26</v>
      </c>
      <c r="E44">
        <v>5</v>
      </c>
      <c r="F44">
        <v>4.8</v>
      </c>
      <c r="G44" t="str">
        <f t="shared" si="0"/>
        <v>Excellent</v>
      </c>
      <c r="H44">
        <f t="shared" si="3"/>
        <v>616</v>
      </c>
      <c r="I44" t="str">
        <f t="shared" si="2"/>
        <v>Medium</v>
      </c>
    </row>
    <row r="45" spans="1:9 16382:16382" x14ac:dyDescent="0.25">
      <c r="A45" t="s">
        <v>224</v>
      </c>
      <c r="B45" s="3">
        <v>509</v>
      </c>
      <c r="C45" s="3">
        <v>899</v>
      </c>
      <c r="D45" s="1">
        <v>0.43</v>
      </c>
      <c r="E45">
        <v>5</v>
      </c>
      <c r="F45">
        <v>3</v>
      </c>
      <c r="G45" t="str">
        <f t="shared" si="0"/>
        <v>Average</v>
      </c>
      <c r="H45">
        <f t="shared" si="3"/>
        <v>390</v>
      </c>
      <c r="I45" t="str">
        <f t="shared" si="2"/>
        <v>High</v>
      </c>
    </row>
    <row r="46" spans="1:9 16382:16382" x14ac:dyDescent="0.25">
      <c r="A46" t="s">
        <v>63</v>
      </c>
      <c r="B46" s="3">
        <v>2025</v>
      </c>
      <c r="C46" s="3">
        <v>3971</v>
      </c>
      <c r="D46" s="1">
        <v>0.49</v>
      </c>
      <c r="E46">
        <v>3</v>
      </c>
      <c r="F46">
        <v>5</v>
      </c>
      <c r="G46" t="str">
        <f t="shared" si="0"/>
        <v>Excellent</v>
      </c>
      <c r="H46">
        <f t="shared" si="3"/>
        <v>1946</v>
      </c>
      <c r="I46" t="str">
        <f t="shared" si="2"/>
        <v>High</v>
      </c>
      <c r="XFB46">
        <f>AVERAGE(A46:XFA46)</f>
        <v>1325.0816666666667</v>
      </c>
    </row>
    <row r="47" spans="1:9 16382:16382" x14ac:dyDescent="0.25">
      <c r="A47" t="s">
        <v>125</v>
      </c>
      <c r="B47" s="3">
        <v>1800</v>
      </c>
      <c r="C47" s="3">
        <v>2700</v>
      </c>
      <c r="D47" s="1">
        <v>0.38</v>
      </c>
      <c r="E47">
        <v>2</v>
      </c>
      <c r="F47">
        <v>4.5</v>
      </c>
      <c r="G47" t="str">
        <f t="shared" si="0"/>
        <v>Excellent</v>
      </c>
      <c r="H47">
        <f t="shared" si="3"/>
        <v>900</v>
      </c>
      <c r="I47" t="str">
        <f t="shared" si="2"/>
        <v>Medium</v>
      </c>
    </row>
    <row r="48" spans="1:9 16382:16382" x14ac:dyDescent="0.25">
      <c r="A48" t="s">
        <v>33</v>
      </c>
      <c r="B48" s="3">
        <v>988</v>
      </c>
      <c r="C48" s="3">
        <v>1580</v>
      </c>
      <c r="D48" s="1">
        <v>0.37</v>
      </c>
      <c r="E48">
        <v>2</v>
      </c>
      <c r="F48">
        <v>4</v>
      </c>
      <c r="G48" t="str">
        <f t="shared" si="0"/>
        <v>Average</v>
      </c>
      <c r="H48">
        <f t="shared" si="3"/>
        <v>592</v>
      </c>
      <c r="I48" t="str">
        <f t="shared" si="2"/>
        <v>Medium</v>
      </c>
    </row>
    <row r="49" spans="1:9" x14ac:dyDescent="0.25">
      <c r="A49" t="s">
        <v>6</v>
      </c>
      <c r="B49" s="3">
        <v>950</v>
      </c>
      <c r="C49" s="3">
        <v>1525</v>
      </c>
      <c r="D49" s="1">
        <v>0.38</v>
      </c>
      <c r="E49">
        <v>2</v>
      </c>
      <c r="F49">
        <v>4.5</v>
      </c>
      <c r="G49" t="str">
        <f t="shared" si="0"/>
        <v>Excellent</v>
      </c>
      <c r="H49">
        <f t="shared" si="3"/>
        <v>575</v>
      </c>
      <c r="I49" t="str">
        <f t="shared" si="2"/>
        <v>Medium</v>
      </c>
    </row>
    <row r="50" spans="1:9" x14ac:dyDescent="0.25">
      <c r="A50" t="s">
        <v>56</v>
      </c>
      <c r="B50" s="3">
        <v>332</v>
      </c>
      <c r="C50" s="3">
        <v>684</v>
      </c>
      <c r="D50" s="1">
        <v>0.51</v>
      </c>
      <c r="E50">
        <v>2</v>
      </c>
      <c r="F50">
        <v>5</v>
      </c>
      <c r="G50" t="str">
        <f t="shared" si="0"/>
        <v>Excellent</v>
      </c>
      <c r="H50">
        <f t="shared" si="3"/>
        <v>352</v>
      </c>
      <c r="I50" t="str">
        <f t="shared" si="2"/>
        <v>High</v>
      </c>
    </row>
    <row r="51" spans="1:9" x14ac:dyDescent="0.25">
      <c r="A51" t="s">
        <v>120</v>
      </c>
      <c r="B51" s="3">
        <v>171</v>
      </c>
      <c r="C51" s="3">
        <v>360</v>
      </c>
      <c r="D51" s="1">
        <v>0.53</v>
      </c>
      <c r="E51">
        <v>2</v>
      </c>
      <c r="F51">
        <v>5</v>
      </c>
      <c r="G51" t="str">
        <f t="shared" si="0"/>
        <v>Excellent</v>
      </c>
      <c r="H51">
        <f t="shared" si="3"/>
        <v>189</v>
      </c>
      <c r="I51" t="str">
        <f t="shared" si="2"/>
        <v>High</v>
      </c>
    </row>
    <row r="52" spans="1:9" x14ac:dyDescent="0.25">
      <c r="A52" t="s">
        <v>60</v>
      </c>
      <c r="B52" s="3">
        <v>195</v>
      </c>
      <c r="C52" s="3">
        <v>360</v>
      </c>
      <c r="D52" s="1">
        <v>0.46</v>
      </c>
      <c r="E52">
        <v>2</v>
      </c>
      <c r="F52">
        <v>5</v>
      </c>
      <c r="G52" t="str">
        <f t="shared" si="0"/>
        <v>Excellent</v>
      </c>
      <c r="H52">
        <f t="shared" si="3"/>
        <v>165</v>
      </c>
      <c r="I52" t="str">
        <f t="shared" si="2"/>
        <v>High</v>
      </c>
    </row>
    <row r="53" spans="1:9" x14ac:dyDescent="0.25">
      <c r="A53" t="s">
        <v>117</v>
      </c>
      <c r="B53" s="3">
        <v>1620</v>
      </c>
      <c r="C53" s="3">
        <v>2690</v>
      </c>
      <c r="D53" s="1">
        <v>0.4</v>
      </c>
      <c r="E53">
        <v>1</v>
      </c>
      <c r="F53">
        <v>5</v>
      </c>
      <c r="G53" t="str">
        <f t="shared" si="0"/>
        <v>Excellent</v>
      </c>
      <c r="H53">
        <f t="shared" si="3"/>
        <v>1070</v>
      </c>
      <c r="I53" t="str">
        <f t="shared" si="2"/>
        <v>Medium</v>
      </c>
    </row>
    <row r="54" spans="1:9" x14ac:dyDescent="0.25">
      <c r="A54" t="s">
        <v>243</v>
      </c>
      <c r="B54" s="3">
        <v>1189</v>
      </c>
      <c r="C54" s="3">
        <v>2199</v>
      </c>
      <c r="D54" s="1">
        <v>0.46</v>
      </c>
      <c r="E54">
        <v>1</v>
      </c>
      <c r="F54">
        <v>3</v>
      </c>
      <c r="G54" t="str">
        <f t="shared" si="0"/>
        <v>Average</v>
      </c>
      <c r="H54">
        <f t="shared" si="3"/>
        <v>1010</v>
      </c>
      <c r="I54" t="str">
        <f t="shared" si="2"/>
        <v>High</v>
      </c>
    </row>
    <row r="55" spans="1:9" x14ac:dyDescent="0.25">
      <c r="A55" t="s">
        <v>295</v>
      </c>
      <c r="B55" s="3">
        <v>3640</v>
      </c>
      <c r="C55" s="3">
        <v>4588</v>
      </c>
      <c r="D55" s="1">
        <v>0.21</v>
      </c>
      <c r="E55">
        <v>1</v>
      </c>
      <c r="F55">
        <v>5</v>
      </c>
      <c r="G55" t="str">
        <f t="shared" si="0"/>
        <v>Excellent</v>
      </c>
      <c r="H55">
        <f t="shared" si="3"/>
        <v>948</v>
      </c>
      <c r="I55" t="str">
        <f t="shared" si="2"/>
        <v>Medium</v>
      </c>
    </row>
    <row r="56" spans="1:9" x14ac:dyDescent="0.25">
      <c r="A56" t="s">
        <v>245</v>
      </c>
      <c r="B56" s="3">
        <v>979</v>
      </c>
      <c r="C56" s="3">
        <v>1920</v>
      </c>
      <c r="D56" s="1">
        <v>0.49</v>
      </c>
      <c r="E56">
        <v>1</v>
      </c>
      <c r="F56">
        <v>5</v>
      </c>
      <c r="G56" t="str">
        <f t="shared" si="0"/>
        <v>Excellent</v>
      </c>
      <c r="H56">
        <f t="shared" si="3"/>
        <v>941</v>
      </c>
      <c r="I56" t="str">
        <f t="shared" si="2"/>
        <v>High</v>
      </c>
    </row>
    <row r="57" spans="1:9" x14ac:dyDescent="0.25">
      <c r="A57" t="s">
        <v>318</v>
      </c>
      <c r="B57" s="3">
        <v>450</v>
      </c>
      <c r="C57" s="3">
        <v>900</v>
      </c>
      <c r="D57" s="1">
        <v>0.5</v>
      </c>
      <c r="E57">
        <v>1</v>
      </c>
      <c r="F57">
        <v>2</v>
      </c>
      <c r="G57" t="str">
        <f t="shared" si="0"/>
        <v>Poor</v>
      </c>
      <c r="H57">
        <f t="shared" si="3"/>
        <v>450</v>
      </c>
      <c r="I57" t="str">
        <f t="shared" si="2"/>
        <v>High</v>
      </c>
    </row>
    <row r="58" spans="1:9" x14ac:dyDescent="0.25">
      <c r="A58" t="s">
        <v>253</v>
      </c>
      <c r="B58" s="3">
        <v>330</v>
      </c>
      <c r="C58" s="3">
        <v>647</v>
      </c>
      <c r="D58" s="1">
        <v>0.49</v>
      </c>
      <c r="E58">
        <v>1</v>
      </c>
      <c r="F58">
        <v>4</v>
      </c>
      <c r="G58" t="str">
        <f t="shared" si="0"/>
        <v>Average</v>
      </c>
      <c r="H58">
        <f t="shared" si="3"/>
        <v>317</v>
      </c>
      <c r="I58" t="str">
        <f t="shared" si="2"/>
        <v>High</v>
      </c>
    </row>
    <row r="59" spans="1:9" x14ac:dyDescent="0.25">
      <c r="A59" t="s">
        <v>99</v>
      </c>
      <c r="B59" s="3">
        <v>2200</v>
      </c>
      <c r="C59" s="3">
        <v>4080</v>
      </c>
      <c r="D59" s="1">
        <v>0.46</v>
      </c>
      <c r="E59">
        <v>0</v>
      </c>
      <c r="F59" t="s">
        <v>354</v>
      </c>
      <c r="G59" t="str">
        <f t="shared" si="0"/>
        <v>Excellent</v>
      </c>
      <c r="H59">
        <f t="shared" si="3"/>
        <v>1880</v>
      </c>
      <c r="I59" t="str">
        <f t="shared" si="2"/>
        <v>High</v>
      </c>
    </row>
    <row r="60" spans="1:9" x14ac:dyDescent="0.25">
      <c r="A60" t="s">
        <v>128</v>
      </c>
      <c r="B60" s="3">
        <v>2750</v>
      </c>
      <c r="C60" s="3">
        <v>4471</v>
      </c>
      <c r="D60" s="1">
        <v>0.38</v>
      </c>
      <c r="E60">
        <v>0</v>
      </c>
      <c r="F60" t="s">
        <v>354</v>
      </c>
      <c r="G60" t="str">
        <f t="shared" si="0"/>
        <v>Excellent</v>
      </c>
      <c r="H60">
        <f t="shared" si="3"/>
        <v>1721</v>
      </c>
      <c r="I60" t="str">
        <f t="shared" si="2"/>
        <v>Medium</v>
      </c>
    </row>
    <row r="61" spans="1:9" x14ac:dyDescent="0.25">
      <c r="A61" t="s">
        <v>75</v>
      </c>
      <c r="B61" s="3">
        <v>1860</v>
      </c>
      <c r="C61" s="3">
        <v>3220</v>
      </c>
      <c r="D61" s="1">
        <v>0.42</v>
      </c>
      <c r="E61">
        <v>0</v>
      </c>
      <c r="F61" t="s">
        <v>354</v>
      </c>
      <c r="G61" t="str">
        <f t="shared" si="0"/>
        <v>Excellent</v>
      </c>
      <c r="H61">
        <f t="shared" si="3"/>
        <v>1360</v>
      </c>
      <c r="I61" t="str">
        <f t="shared" si="2"/>
        <v>High</v>
      </c>
    </row>
    <row r="62" spans="1:9" x14ac:dyDescent="0.25">
      <c r="A62" t="s">
        <v>272</v>
      </c>
      <c r="B62" s="3">
        <v>1300</v>
      </c>
      <c r="C62" s="3">
        <v>2500</v>
      </c>
      <c r="D62" s="1">
        <v>0.48</v>
      </c>
      <c r="E62">
        <v>0</v>
      </c>
      <c r="F62" t="s">
        <v>354</v>
      </c>
      <c r="G62" t="str">
        <f t="shared" si="0"/>
        <v>Excellent</v>
      </c>
      <c r="H62">
        <f t="shared" si="3"/>
        <v>1200</v>
      </c>
      <c r="I62" t="str">
        <f t="shared" si="2"/>
        <v>High</v>
      </c>
    </row>
    <row r="63" spans="1:9" x14ac:dyDescent="0.25">
      <c r="A63" t="s">
        <v>278</v>
      </c>
      <c r="B63" s="3">
        <v>1200</v>
      </c>
      <c r="C63" s="3">
        <v>2400</v>
      </c>
      <c r="D63" s="1">
        <v>0.5</v>
      </c>
      <c r="E63">
        <v>0</v>
      </c>
      <c r="F63" t="s">
        <v>354</v>
      </c>
      <c r="G63" t="str">
        <f t="shared" si="0"/>
        <v>Excellent</v>
      </c>
      <c r="H63">
        <f t="shared" si="3"/>
        <v>1200</v>
      </c>
      <c r="I63" t="str">
        <f t="shared" si="2"/>
        <v>High</v>
      </c>
    </row>
    <row r="64" spans="1:9" x14ac:dyDescent="0.25">
      <c r="A64" t="s">
        <v>177</v>
      </c>
      <c r="B64" s="3">
        <v>2799</v>
      </c>
      <c r="C64" s="3">
        <v>3810</v>
      </c>
      <c r="D64" s="1">
        <v>0.27</v>
      </c>
      <c r="E64">
        <v>0</v>
      </c>
      <c r="F64" t="s">
        <v>354</v>
      </c>
      <c r="G64" t="str">
        <f t="shared" si="0"/>
        <v>Excellent</v>
      </c>
      <c r="H64">
        <f t="shared" si="3"/>
        <v>1011</v>
      </c>
      <c r="I64" t="str">
        <f t="shared" si="2"/>
        <v>Medium</v>
      </c>
    </row>
    <row r="65" spans="1:9" x14ac:dyDescent="0.25">
      <c r="A65" t="s">
        <v>143</v>
      </c>
      <c r="B65" s="3">
        <v>999</v>
      </c>
      <c r="C65" s="3">
        <v>2000</v>
      </c>
      <c r="D65" s="1">
        <v>0.5</v>
      </c>
      <c r="E65">
        <v>0</v>
      </c>
      <c r="F65" t="s">
        <v>354</v>
      </c>
      <c r="G65" t="str">
        <f t="shared" si="0"/>
        <v>Excellent</v>
      </c>
      <c r="H65">
        <f t="shared" si="3"/>
        <v>1001</v>
      </c>
      <c r="I65" t="str">
        <f t="shared" si="2"/>
        <v>High</v>
      </c>
    </row>
    <row r="66" spans="1:9" x14ac:dyDescent="0.25">
      <c r="A66" t="s">
        <v>298</v>
      </c>
      <c r="B66" s="3">
        <v>1420</v>
      </c>
      <c r="C66" s="3">
        <v>2420</v>
      </c>
      <c r="D66" s="1">
        <v>0.41</v>
      </c>
      <c r="E66">
        <v>0</v>
      </c>
      <c r="F66" t="s">
        <v>354</v>
      </c>
      <c r="G66" t="str">
        <f t="shared" ref="G66:G110" si="4">IF(F66="Not Provided","N/A",IF(F66&lt;3,"Poor",IF(F66&lt;=4.4,"Average","Excellent")))</f>
        <v>Excellent</v>
      </c>
      <c r="H66">
        <f t="shared" ref="H66:H97" si="5">C66-B66</f>
        <v>1000</v>
      </c>
      <c r="I66" t="str">
        <f t="shared" ref="I66:I110" si="6">IF(D66&lt;20%,"Low",IF(D66&lt;=40%,"Medium","High"))</f>
        <v>High</v>
      </c>
    </row>
    <row r="67" spans="1:9" x14ac:dyDescent="0.25">
      <c r="A67" t="s">
        <v>269</v>
      </c>
      <c r="B67" s="3">
        <v>850</v>
      </c>
      <c r="C67" s="3">
        <v>1700</v>
      </c>
      <c r="D67" s="1">
        <v>0.5</v>
      </c>
      <c r="E67">
        <v>0</v>
      </c>
      <c r="F67" t="s">
        <v>354</v>
      </c>
      <c r="G67" t="str">
        <f t="shared" si="4"/>
        <v>Excellent</v>
      </c>
      <c r="H67">
        <f t="shared" si="5"/>
        <v>850</v>
      </c>
      <c r="I67" t="str">
        <f t="shared" si="6"/>
        <v>High</v>
      </c>
    </row>
    <row r="68" spans="1:9" x14ac:dyDescent="0.25">
      <c r="A68" t="s">
        <v>248</v>
      </c>
      <c r="B68" s="3">
        <v>1460</v>
      </c>
      <c r="C68" s="3">
        <v>2290</v>
      </c>
      <c r="D68" s="1">
        <v>0.36</v>
      </c>
      <c r="E68">
        <v>0</v>
      </c>
      <c r="F68" t="s">
        <v>354</v>
      </c>
      <c r="G68" t="str">
        <f t="shared" si="4"/>
        <v>Excellent</v>
      </c>
      <c r="H68">
        <f t="shared" si="5"/>
        <v>830</v>
      </c>
      <c r="I68" t="str">
        <f t="shared" si="6"/>
        <v>Medium</v>
      </c>
    </row>
    <row r="69" spans="1:9" x14ac:dyDescent="0.25">
      <c r="A69" t="s">
        <v>277</v>
      </c>
      <c r="B69" s="3">
        <v>899</v>
      </c>
      <c r="C69" s="3">
        <v>1699</v>
      </c>
      <c r="D69" s="1">
        <v>0.47</v>
      </c>
      <c r="E69">
        <v>0</v>
      </c>
      <c r="F69" t="s">
        <v>354</v>
      </c>
      <c r="G69" t="str">
        <f t="shared" si="4"/>
        <v>Excellent</v>
      </c>
      <c r="H69">
        <f t="shared" si="5"/>
        <v>800</v>
      </c>
      <c r="I69" t="str">
        <f t="shared" si="6"/>
        <v>High</v>
      </c>
    </row>
    <row r="70" spans="1:9" x14ac:dyDescent="0.25">
      <c r="A70" t="s">
        <v>292</v>
      </c>
      <c r="B70" s="3">
        <v>1080</v>
      </c>
      <c r="C70" s="3">
        <v>1874</v>
      </c>
      <c r="D70" s="1">
        <v>0.42</v>
      </c>
      <c r="E70">
        <v>0</v>
      </c>
      <c r="F70" t="s">
        <v>354</v>
      </c>
      <c r="G70" t="str">
        <f t="shared" si="4"/>
        <v>Excellent</v>
      </c>
      <c r="H70">
        <f t="shared" si="5"/>
        <v>794</v>
      </c>
      <c r="I70" t="str">
        <f t="shared" si="6"/>
        <v>High</v>
      </c>
    </row>
    <row r="71" spans="1:9" x14ac:dyDescent="0.25">
      <c r="A71" t="s">
        <v>175</v>
      </c>
      <c r="B71" s="3">
        <v>799</v>
      </c>
      <c r="C71" s="3">
        <v>1567</v>
      </c>
      <c r="D71" s="1">
        <v>0.49</v>
      </c>
      <c r="E71">
        <v>0</v>
      </c>
      <c r="F71" t="s">
        <v>354</v>
      </c>
      <c r="G71" t="str">
        <f t="shared" si="4"/>
        <v>Excellent</v>
      </c>
      <c r="H71">
        <f t="shared" si="5"/>
        <v>768</v>
      </c>
      <c r="I71" t="str">
        <f t="shared" si="6"/>
        <v>High</v>
      </c>
    </row>
    <row r="72" spans="1:9" x14ac:dyDescent="0.25">
      <c r="A72" t="s">
        <v>151</v>
      </c>
      <c r="B72" s="3">
        <v>1200</v>
      </c>
      <c r="C72" s="3">
        <v>1950</v>
      </c>
      <c r="D72" s="1">
        <v>0.38</v>
      </c>
      <c r="E72">
        <v>0</v>
      </c>
      <c r="F72" t="s">
        <v>354</v>
      </c>
      <c r="G72" t="str">
        <f t="shared" si="4"/>
        <v>Excellent</v>
      </c>
      <c r="H72">
        <f t="shared" si="5"/>
        <v>750</v>
      </c>
      <c r="I72" t="str">
        <f t="shared" si="6"/>
        <v>Medium</v>
      </c>
    </row>
    <row r="73" spans="1:9" x14ac:dyDescent="0.25">
      <c r="A73" t="s">
        <v>232</v>
      </c>
      <c r="B73" s="3">
        <v>790</v>
      </c>
      <c r="C73" s="3">
        <v>1485</v>
      </c>
      <c r="D73" s="1">
        <v>0.47</v>
      </c>
      <c r="E73">
        <v>0</v>
      </c>
      <c r="F73" t="s">
        <v>354</v>
      </c>
      <c r="G73" t="str">
        <f t="shared" si="4"/>
        <v>Excellent</v>
      </c>
      <c r="H73">
        <f t="shared" si="5"/>
        <v>695</v>
      </c>
      <c r="I73" t="str">
        <f t="shared" si="6"/>
        <v>High</v>
      </c>
    </row>
    <row r="74" spans="1:9" x14ac:dyDescent="0.25">
      <c r="A74" t="s">
        <v>148</v>
      </c>
      <c r="B74" s="3">
        <v>671</v>
      </c>
      <c r="C74" s="3">
        <v>1316</v>
      </c>
      <c r="D74" s="1">
        <v>0.49</v>
      </c>
      <c r="E74">
        <v>0</v>
      </c>
      <c r="F74" t="s">
        <v>354</v>
      </c>
      <c r="G74" t="str">
        <f t="shared" si="4"/>
        <v>Excellent</v>
      </c>
      <c r="H74">
        <f t="shared" si="5"/>
        <v>645</v>
      </c>
      <c r="I74" t="str">
        <f t="shared" si="6"/>
        <v>High</v>
      </c>
    </row>
    <row r="75" spans="1:9" x14ac:dyDescent="0.25">
      <c r="A75" t="s">
        <v>173</v>
      </c>
      <c r="B75" s="3">
        <v>699</v>
      </c>
      <c r="C75" s="3">
        <v>1343</v>
      </c>
      <c r="D75" s="1">
        <v>0.48</v>
      </c>
      <c r="E75">
        <v>0</v>
      </c>
      <c r="F75" t="s">
        <v>354</v>
      </c>
      <c r="G75" t="str">
        <f t="shared" si="4"/>
        <v>Excellent</v>
      </c>
      <c r="H75">
        <f t="shared" si="5"/>
        <v>644</v>
      </c>
      <c r="I75" t="str">
        <f t="shared" si="6"/>
        <v>High</v>
      </c>
    </row>
    <row r="76" spans="1:9" x14ac:dyDescent="0.25">
      <c r="A76" t="s">
        <v>310</v>
      </c>
      <c r="B76" s="3">
        <v>1190</v>
      </c>
      <c r="C76" s="3">
        <v>1810</v>
      </c>
      <c r="D76" s="1">
        <v>0.34</v>
      </c>
      <c r="E76">
        <v>0</v>
      </c>
      <c r="F76" t="s">
        <v>354</v>
      </c>
      <c r="G76" t="str">
        <f t="shared" si="4"/>
        <v>Excellent</v>
      </c>
      <c r="H76">
        <f t="shared" si="5"/>
        <v>620</v>
      </c>
      <c r="I76" t="str">
        <f t="shared" si="6"/>
        <v>Medium</v>
      </c>
    </row>
    <row r="77" spans="1:9" x14ac:dyDescent="0.25">
      <c r="A77" t="s">
        <v>145</v>
      </c>
      <c r="B77" s="3">
        <v>1190</v>
      </c>
      <c r="C77" s="3">
        <v>1785</v>
      </c>
      <c r="D77" s="1">
        <v>0.33</v>
      </c>
      <c r="E77">
        <v>0</v>
      </c>
      <c r="F77" t="s">
        <v>354</v>
      </c>
      <c r="G77" t="str">
        <f t="shared" si="4"/>
        <v>Excellent</v>
      </c>
      <c r="H77">
        <f t="shared" si="5"/>
        <v>595</v>
      </c>
      <c r="I77" t="str">
        <f t="shared" si="6"/>
        <v>Medium</v>
      </c>
    </row>
    <row r="78" spans="1:9" x14ac:dyDescent="0.25">
      <c r="A78" t="s">
        <v>307</v>
      </c>
      <c r="B78" s="3">
        <v>1150</v>
      </c>
      <c r="C78" s="3">
        <v>1737</v>
      </c>
      <c r="D78" s="1">
        <v>0.34</v>
      </c>
      <c r="E78">
        <v>0</v>
      </c>
      <c r="F78" t="s">
        <v>354</v>
      </c>
      <c r="G78" t="str">
        <f t="shared" si="4"/>
        <v>Excellent</v>
      </c>
      <c r="H78">
        <f t="shared" si="5"/>
        <v>587</v>
      </c>
      <c r="I78" t="str">
        <f t="shared" si="6"/>
        <v>Medium</v>
      </c>
    </row>
    <row r="79" spans="1:9" x14ac:dyDescent="0.25">
      <c r="A79" t="s">
        <v>168</v>
      </c>
      <c r="B79" s="3">
        <v>799</v>
      </c>
      <c r="C79" s="3">
        <v>1343</v>
      </c>
      <c r="D79" s="1">
        <v>0.41</v>
      </c>
      <c r="E79">
        <v>0</v>
      </c>
      <c r="F79" t="s">
        <v>354</v>
      </c>
      <c r="G79" t="str">
        <f t="shared" si="4"/>
        <v>Excellent</v>
      </c>
      <c r="H79">
        <f t="shared" si="5"/>
        <v>544</v>
      </c>
      <c r="I79" t="str">
        <f t="shared" si="6"/>
        <v>High</v>
      </c>
    </row>
    <row r="80" spans="1:9" x14ac:dyDescent="0.25">
      <c r="A80" t="s">
        <v>235</v>
      </c>
      <c r="B80" s="3">
        <v>690</v>
      </c>
      <c r="C80" s="3">
        <v>1200</v>
      </c>
      <c r="D80" s="1">
        <v>0.43</v>
      </c>
      <c r="E80">
        <v>0</v>
      </c>
      <c r="F80" t="s">
        <v>354</v>
      </c>
      <c r="G80" t="str">
        <f t="shared" si="4"/>
        <v>Excellent</v>
      </c>
      <c r="H80">
        <f t="shared" si="5"/>
        <v>510</v>
      </c>
      <c r="I80" t="str">
        <f t="shared" si="6"/>
        <v>High</v>
      </c>
    </row>
    <row r="81" spans="1:9" x14ac:dyDescent="0.25">
      <c r="A81" t="s">
        <v>289</v>
      </c>
      <c r="B81" s="3">
        <v>525</v>
      </c>
      <c r="C81" s="3">
        <v>1029</v>
      </c>
      <c r="D81" s="1">
        <v>0.49</v>
      </c>
      <c r="E81">
        <v>0</v>
      </c>
      <c r="F81" t="s">
        <v>354</v>
      </c>
      <c r="G81" t="str">
        <f t="shared" si="4"/>
        <v>Excellent</v>
      </c>
      <c r="H81">
        <f t="shared" si="5"/>
        <v>504</v>
      </c>
      <c r="I81" t="str">
        <f t="shared" si="6"/>
        <v>High</v>
      </c>
    </row>
    <row r="82" spans="1:9" x14ac:dyDescent="0.25">
      <c r="A82" t="s">
        <v>266</v>
      </c>
      <c r="B82" s="3">
        <v>630</v>
      </c>
      <c r="C82" s="3">
        <v>1100</v>
      </c>
      <c r="D82" s="1">
        <v>0.43</v>
      </c>
      <c r="E82">
        <v>0</v>
      </c>
      <c r="F82" t="s">
        <v>354</v>
      </c>
      <c r="G82" t="str">
        <f t="shared" si="4"/>
        <v>Excellent</v>
      </c>
      <c r="H82">
        <f t="shared" si="5"/>
        <v>470</v>
      </c>
      <c r="I82" t="str">
        <f t="shared" si="6"/>
        <v>High</v>
      </c>
    </row>
    <row r="83" spans="1:9" x14ac:dyDescent="0.25">
      <c r="A83" t="s">
        <v>131</v>
      </c>
      <c r="B83" s="3">
        <v>475</v>
      </c>
      <c r="C83" s="3">
        <v>931</v>
      </c>
      <c r="D83" s="1">
        <v>0.49</v>
      </c>
      <c r="E83">
        <v>0</v>
      </c>
      <c r="F83" t="s">
        <v>354</v>
      </c>
      <c r="G83" t="str">
        <f t="shared" si="4"/>
        <v>Excellent</v>
      </c>
      <c r="H83">
        <f t="shared" si="5"/>
        <v>456</v>
      </c>
      <c r="I83" t="str">
        <f t="shared" si="6"/>
        <v>High</v>
      </c>
    </row>
    <row r="84" spans="1:9" x14ac:dyDescent="0.25">
      <c r="A84" t="s">
        <v>137</v>
      </c>
      <c r="B84" s="3">
        <v>610</v>
      </c>
      <c r="C84" s="3">
        <v>1060</v>
      </c>
      <c r="D84" s="1">
        <v>0.42</v>
      </c>
      <c r="E84">
        <v>0</v>
      </c>
      <c r="F84" t="s">
        <v>354</v>
      </c>
      <c r="G84" t="str">
        <f t="shared" si="4"/>
        <v>Excellent</v>
      </c>
      <c r="H84">
        <f t="shared" si="5"/>
        <v>450</v>
      </c>
      <c r="I84" t="str">
        <f t="shared" si="6"/>
        <v>High</v>
      </c>
    </row>
    <row r="85" spans="1:9" x14ac:dyDescent="0.25">
      <c r="A85" t="s">
        <v>170</v>
      </c>
      <c r="B85" s="3">
        <v>499</v>
      </c>
      <c r="C85" s="3">
        <v>900</v>
      </c>
      <c r="D85" s="1">
        <v>0.45</v>
      </c>
      <c r="E85">
        <v>0</v>
      </c>
      <c r="F85" t="s">
        <v>354</v>
      </c>
      <c r="G85" t="str">
        <f t="shared" si="4"/>
        <v>Excellent</v>
      </c>
      <c r="H85">
        <f t="shared" si="5"/>
        <v>401</v>
      </c>
      <c r="I85" t="str">
        <f t="shared" si="6"/>
        <v>High</v>
      </c>
    </row>
    <row r="86" spans="1:9" x14ac:dyDescent="0.25">
      <c r="A86" t="s">
        <v>316</v>
      </c>
      <c r="B86" s="3">
        <v>199</v>
      </c>
      <c r="C86" s="3">
        <v>553</v>
      </c>
      <c r="D86" s="1">
        <v>0.64</v>
      </c>
      <c r="E86">
        <v>0</v>
      </c>
      <c r="F86" t="s">
        <v>354</v>
      </c>
      <c r="G86" t="str">
        <f t="shared" si="4"/>
        <v>Excellent</v>
      </c>
      <c r="H86">
        <f t="shared" si="5"/>
        <v>354</v>
      </c>
      <c r="I86" t="str">
        <f t="shared" si="6"/>
        <v>High</v>
      </c>
    </row>
    <row r="87" spans="1:9" x14ac:dyDescent="0.25">
      <c r="A87" t="s">
        <v>154</v>
      </c>
      <c r="B87" s="3">
        <v>199</v>
      </c>
      <c r="C87" s="3">
        <v>504</v>
      </c>
      <c r="D87" s="1">
        <v>0.61</v>
      </c>
      <c r="E87">
        <v>0</v>
      </c>
      <c r="F87" t="s">
        <v>354</v>
      </c>
      <c r="G87" t="str">
        <f t="shared" si="4"/>
        <v>Excellent</v>
      </c>
      <c r="H87">
        <f t="shared" si="5"/>
        <v>305</v>
      </c>
      <c r="I87" t="str">
        <f t="shared" si="6"/>
        <v>High</v>
      </c>
    </row>
    <row r="88" spans="1:9" x14ac:dyDescent="0.25">
      <c r="A88" t="s">
        <v>157</v>
      </c>
      <c r="B88" s="3">
        <v>299</v>
      </c>
      <c r="C88" s="3">
        <v>600</v>
      </c>
      <c r="D88" s="1">
        <v>0.5</v>
      </c>
      <c r="E88">
        <v>0</v>
      </c>
      <c r="F88" t="s">
        <v>354</v>
      </c>
      <c r="G88" t="str">
        <f t="shared" si="4"/>
        <v>Excellent</v>
      </c>
      <c r="H88">
        <f t="shared" si="5"/>
        <v>301</v>
      </c>
      <c r="I88" t="str">
        <f t="shared" si="6"/>
        <v>High</v>
      </c>
    </row>
    <row r="89" spans="1:9" x14ac:dyDescent="0.25">
      <c r="A89" t="s">
        <v>258</v>
      </c>
      <c r="B89" s="3">
        <v>274</v>
      </c>
      <c r="C89" s="3">
        <v>537</v>
      </c>
      <c r="D89" s="1">
        <v>0.49</v>
      </c>
      <c r="E89">
        <v>0</v>
      </c>
      <c r="F89" t="s">
        <v>354</v>
      </c>
      <c r="G89" t="str">
        <f t="shared" si="4"/>
        <v>Excellent</v>
      </c>
      <c r="H89">
        <f t="shared" si="5"/>
        <v>263</v>
      </c>
      <c r="I89" t="str">
        <f t="shared" si="6"/>
        <v>High</v>
      </c>
    </row>
    <row r="90" spans="1:9" x14ac:dyDescent="0.25">
      <c r="A90" t="s">
        <v>134</v>
      </c>
      <c r="B90" s="3">
        <v>238</v>
      </c>
      <c r="C90" s="3">
        <v>476</v>
      </c>
      <c r="D90" s="1">
        <v>0.5</v>
      </c>
      <c r="E90">
        <v>0</v>
      </c>
      <c r="F90" t="s">
        <v>354</v>
      </c>
      <c r="G90" t="str">
        <f t="shared" si="4"/>
        <v>Excellent</v>
      </c>
      <c r="H90">
        <f t="shared" si="5"/>
        <v>238</v>
      </c>
      <c r="I90" t="str">
        <f t="shared" si="6"/>
        <v>High</v>
      </c>
    </row>
    <row r="91" spans="1:9" x14ac:dyDescent="0.25">
      <c r="A91" t="s">
        <v>284</v>
      </c>
      <c r="B91" s="3">
        <v>248</v>
      </c>
      <c r="C91" s="3">
        <v>486</v>
      </c>
      <c r="D91" s="1">
        <v>0.49</v>
      </c>
      <c r="E91">
        <v>0</v>
      </c>
      <c r="F91" t="s">
        <v>354</v>
      </c>
      <c r="G91" t="str">
        <f t="shared" si="4"/>
        <v>Excellent</v>
      </c>
      <c r="H91">
        <f t="shared" si="5"/>
        <v>238</v>
      </c>
      <c r="I91" t="str">
        <f t="shared" si="6"/>
        <v>High</v>
      </c>
    </row>
    <row r="92" spans="1:9" x14ac:dyDescent="0.25">
      <c r="A92" t="s">
        <v>256</v>
      </c>
      <c r="B92" s="3">
        <v>1466</v>
      </c>
      <c r="C92" s="3">
        <v>1699</v>
      </c>
      <c r="D92" s="1">
        <v>0.14000000000000001</v>
      </c>
      <c r="E92">
        <v>0</v>
      </c>
      <c r="F92" t="s">
        <v>354</v>
      </c>
      <c r="G92" t="str">
        <f t="shared" si="4"/>
        <v>Excellent</v>
      </c>
      <c r="H92">
        <f t="shared" si="5"/>
        <v>233</v>
      </c>
      <c r="I92" t="str">
        <f t="shared" si="6"/>
        <v>Low</v>
      </c>
    </row>
    <row r="93" spans="1:9" x14ac:dyDescent="0.25">
      <c r="A93" t="s">
        <v>264</v>
      </c>
      <c r="B93" s="3">
        <v>1468</v>
      </c>
      <c r="C93" s="3">
        <v>1699</v>
      </c>
      <c r="D93" s="1">
        <v>0.14000000000000001</v>
      </c>
      <c r="E93">
        <v>0</v>
      </c>
      <c r="F93" t="s">
        <v>354</v>
      </c>
      <c r="G93" t="str">
        <f t="shared" si="4"/>
        <v>Excellent</v>
      </c>
      <c r="H93">
        <f t="shared" si="5"/>
        <v>231</v>
      </c>
      <c r="I93" t="str">
        <f t="shared" si="6"/>
        <v>Low</v>
      </c>
    </row>
    <row r="94" spans="1:9" x14ac:dyDescent="0.25">
      <c r="A94" t="s">
        <v>240</v>
      </c>
      <c r="B94" s="3">
        <v>230</v>
      </c>
      <c r="C94" s="3">
        <v>450</v>
      </c>
      <c r="D94" s="1">
        <v>0.49</v>
      </c>
      <c r="E94">
        <v>0</v>
      </c>
      <c r="F94" t="s">
        <v>354</v>
      </c>
      <c r="G94" t="str">
        <f t="shared" si="4"/>
        <v>Excellent</v>
      </c>
      <c r="H94">
        <f t="shared" si="5"/>
        <v>220</v>
      </c>
      <c r="I94" t="str">
        <f t="shared" si="6"/>
        <v>High</v>
      </c>
    </row>
    <row r="95" spans="1:9" x14ac:dyDescent="0.25">
      <c r="A95" t="s">
        <v>287</v>
      </c>
      <c r="B95" s="3">
        <v>3546</v>
      </c>
      <c r="C95" s="3">
        <v>3699</v>
      </c>
      <c r="D95" s="1">
        <v>0.04</v>
      </c>
      <c r="E95">
        <v>0</v>
      </c>
      <c r="F95" t="s">
        <v>354</v>
      </c>
      <c r="G95" t="str">
        <f t="shared" si="4"/>
        <v>Excellent</v>
      </c>
      <c r="H95">
        <f t="shared" si="5"/>
        <v>153</v>
      </c>
      <c r="I95" t="str">
        <f t="shared" si="6"/>
        <v>Low</v>
      </c>
    </row>
    <row r="96" spans="1:9" x14ac:dyDescent="0.25">
      <c r="A96" t="s">
        <v>320</v>
      </c>
      <c r="B96" s="3">
        <v>169</v>
      </c>
      <c r="C96" s="3">
        <v>320</v>
      </c>
      <c r="D96" s="1">
        <v>0.47</v>
      </c>
      <c r="E96">
        <v>0</v>
      </c>
      <c r="F96" t="s">
        <v>354</v>
      </c>
      <c r="G96" t="str">
        <f t="shared" si="4"/>
        <v>Excellent</v>
      </c>
      <c r="H96">
        <f t="shared" si="5"/>
        <v>151</v>
      </c>
      <c r="I96" t="str">
        <f t="shared" si="6"/>
        <v>High</v>
      </c>
    </row>
    <row r="97" spans="1:9" x14ac:dyDescent="0.25">
      <c r="A97" t="s">
        <v>280</v>
      </c>
      <c r="B97" s="3">
        <v>1526</v>
      </c>
      <c r="C97" s="3">
        <v>1660</v>
      </c>
      <c r="D97" s="1">
        <v>0.08</v>
      </c>
      <c r="E97">
        <v>0</v>
      </c>
      <c r="F97" t="s">
        <v>354</v>
      </c>
      <c r="G97" t="str">
        <f t="shared" si="4"/>
        <v>Excellent</v>
      </c>
      <c r="H97">
        <f t="shared" si="5"/>
        <v>134</v>
      </c>
      <c r="I97" t="str">
        <f t="shared" si="6"/>
        <v>Low</v>
      </c>
    </row>
    <row r="98" spans="1:9" x14ac:dyDescent="0.25">
      <c r="A98" t="s">
        <v>261</v>
      </c>
      <c r="B98" s="3">
        <v>799</v>
      </c>
      <c r="C98" s="3">
        <v>900</v>
      </c>
      <c r="D98" s="1">
        <v>0.11</v>
      </c>
      <c r="E98">
        <v>0</v>
      </c>
      <c r="F98" t="s">
        <v>354</v>
      </c>
      <c r="G98" t="str">
        <f t="shared" si="4"/>
        <v>Excellent</v>
      </c>
      <c r="H98">
        <f t="shared" ref="H98:H110" si="7">C98-B98</f>
        <v>101</v>
      </c>
      <c r="I98" t="str">
        <f t="shared" si="6"/>
        <v>Low</v>
      </c>
    </row>
    <row r="99" spans="1:9" x14ac:dyDescent="0.25">
      <c r="A99" t="s">
        <v>274</v>
      </c>
      <c r="B99" s="3">
        <v>105</v>
      </c>
      <c r="C99" s="3">
        <v>200</v>
      </c>
      <c r="D99" s="1">
        <v>0.48</v>
      </c>
      <c r="E99">
        <v>0</v>
      </c>
      <c r="F99" t="s">
        <v>354</v>
      </c>
      <c r="G99" t="str">
        <f t="shared" si="4"/>
        <v>Excellent</v>
      </c>
      <c r="H99">
        <f t="shared" si="7"/>
        <v>95</v>
      </c>
      <c r="I99" t="str">
        <f t="shared" si="6"/>
        <v>High</v>
      </c>
    </row>
    <row r="100" spans="1:9" x14ac:dyDescent="0.25">
      <c r="A100" t="s">
        <v>163</v>
      </c>
      <c r="B100" s="3">
        <v>299</v>
      </c>
      <c r="C100" s="3">
        <v>384</v>
      </c>
      <c r="D100" s="1">
        <v>0.22</v>
      </c>
      <c r="E100">
        <v>0</v>
      </c>
      <c r="F100" t="s">
        <v>354</v>
      </c>
      <c r="G100" t="str">
        <f t="shared" si="4"/>
        <v>Excellent</v>
      </c>
      <c r="H100">
        <f t="shared" si="7"/>
        <v>85</v>
      </c>
      <c r="I100" t="str">
        <f t="shared" si="6"/>
        <v>Medium</v>
      </c>
    </row>
    <row r="101" spans="1:9" x14ac:dyDescent="0.25">
      <c r="A101" t="s">
        <v>237</v>
      </c>
      <c r="B101" s="3">
        <v>1732</v>
      </c>
      <c r="C101" s="3">
        <v>1799</v>
      </c>
      <c r="D101" s="1">
        <v>0.04</v>
      </c>
      <c r="E101">
        <v>0</v>
      </c>
      <c r="F101" t="s">
        <v>354</v>
      </c>
      <c r="G101" t="str">
        <f t="shared" si="4"/>
        <v>Excellent</v>
      </c>
      <c r="H101">
        <f t="shared" si="7"/>
        <v>67</v>
      </c>
      <c r="I101" t="str">
        <f t="shared" si="6"/>
        <v>Low</v>
      </c>
    </row>
    <row r="102" spans="1:9" x14ac:dyDescent="0.25">
      <c r="A102" t="s">
        <v>304</v>
      </c>
      <c r="B102" s="3">
        <v>198</v>
      </c>
      <c r="C102" s="3">
        <v>260</v>
      </c>
      <c r="D102" s="1">
        <v>0.24</v>
      </c>
      <c r="E102">
        <v>0</v>
      </c>
      <c r="F102" t="s">
        <v>354</v>
      </c>
      <c r="G102" t="str">
        <f t="shared" si="4"/>
        <v>Excellent</v>
      </c>
      <c r="H102">
        <f t="shared" si="7"/>
        <v>62</v>
      </c>
      <c r="I102" t="str">
        <f t="shared" si="6"/>
        <v>Medium</v>
      </c>
    </row>
    <row r="103" spans="1:9" x14ac:dyDescent="0.25">
      <c r="A103" t="s">
        <v>312</v>
      </c>
      <c r="B103" s="3">
        <v>1658</v>
      </c>
      <c r="C103" s="3">
        <v>1699</v>
      </c>
      <c r="D103" s="1">
        <v>0.02</v>
      </c>
      <c r="E103">
        <v>0</v>
      </c>
      <c r="F103" t="s">
        <v>354</v>
      </c>
      <c r="G103" t="str">
        <f t="shared" si="4"/>
        <v>Excellent</v>
      </c>
      <c r="H103">
        <f t="shared" si="7"/>
        <v>41</v>
      </c>
      <c r="I103" t="str">
        <f t="shared" si="6"/>
        <v>Low</v>
      </c>
    </row>
    <row r="104" spans="1:9" x14ac:dyDescent="0.25">
      <c r="A104" t="s">
        <v>165</v>
      </c>
      <c r="B104" s="3">
        <v>1459</v>
      </c>
      <c r="C104" s="3">
        <v>1499</v>
      </c>
      <c r="D104" s="1">
        <v>0.03</v>
      </c>
      <c r="E104">
        <v>0</v>
      </c>
      <c r="F104" t="s">
        <v>354</v>
      </c>
      <c r="G104" t="str">
        <f t="shared" si="4"/>
        <v>Excellent</v>
      </c>
      <c r="H104">
        <f t="shared" si="7"/>
        <v>40</v>
      </c>
      <c r="I104" t="str">
        <f t="shared" si="6"/>
        <v>Low</v>
      </c>
    </row>
    <row r="105" spans="1:9" x14ac:dyDescent="0.25">
      <c r="A105" t="s">
        <v>160</v>
      </c>
      <c r="B105" s="3">
        <v>1660</v>
      </c>
      <c r="C105" s="3">
        <v>1699</v>
      </c>
      <c r="D105" s="1">
        <v>0.02</v>
      </c>
      <c r="E105">
        <v>0</v>
      </c>
      <c r="F105" t="s">
        <v>354</v>
      </c>
      <c r="G105" t="str">
        <f t="shared" si="4"/>
        <v>Excellent</v>
      </c>
      <c r="H105">
        <f t="shared" si="7"/>
        <v>39</v>
      </c>
      <c r="I105" t="str">
        <f t="shared" si="6"/>
        <v>Low</v>
      </c>
    </row>
    <row r="106" spans="1:9" x14ac:dyDescent="0.25">
      <c r="A106" t="s">
        <v>140</v>
      </c>
      <c r="B106" s="3">
        <v>2132</v>
      </c>
      <c r="C106" s="3">
        <v>2169</v>
      </c>
      <c r="D106" s="1">
        <v>0.02</v>
      </c>
      <c r="E106">
        <v>0</v>
      </c>
      <c r="F106" t="s">
        <v>354</v>
      </c>
      <c r="G106" t="str">
        <f t="shared" si="4"/>
        <v>Excellent</v>
      </c>
      <c r="H106">
        <f t="shared" si="7"/>
        <v>37</v>
      </c>
      <c r="I106" t="str">
        <f t="shared" si="6"/>
        <v>Low</v>
      </c>
    </row>
    <row r="107" spans="1:9" x14ac:dyDescent="0.25">
      <c r="A107" t="s">
        <v>282</v>
      </c>
      <c r="B107" s="3">
        <v>1462</v>
      </c>
      <c r="C107" s="3">
        <v>1499</v>
      </c>
      <c r="D107" s="1">
        <v>0.02</v>
      </c>
      <c r="E107">
        <v>0</v>
      </c>
      <c r="F107" t="s">
        <v>354</v>
      </c>
      <c r="G107" t="str">
        <f t="shared" si="4"/>
        <v>Excellent</v>
      </c>
      <c r="H107">
        <f t="shared" si="7"/>
        <v>37</v>
      </c>
      <c r="I107" t="str">
        <f t="shared" si="6"/>
        <v>Low</v>
      </c>
    </row>
    <row r="108" spans="1:9" x14ac:dyDescent="0.25">
      <c r="A108" t="s">
        <v>251</v>
      </c>
      <c r="B108" s="3">
        <v>1666</v>
      </c>
      <c r="C108" s="3">
        <v>1699</v>
      </c>
      <c r="D108" s="1">
        <v>0.02</v>
      </c>
      <c r="E108">
        <v>0</v>
      </c>
      <c r="F108" t="s">
        <v>354</v>
      </c>
      <c r="G108" t="str">
        <f t="shared" si="4"/>
        <v>Excellent</v>
      </c>
      <c r="H108">
        <f t="shared" si="7"/>
        <v>33</v>
      </c>
      <c r="I108" t="str">
        <f t="shared" si="6"/>
        <v>Low</v>
      </c>
    </row>
    <row r="109" spans="1:9" x14ac:dyDescent="0.25">
      <c r="A109" t="s">
        <v>314</v>
      </c>
      <c r="B109" s="3">
        <v>1768</v>
      </c>
      <c r="C109" s="3">
        <v>1799</v>
      </c>
      <c r="D109" s="1">
        <v>0.02</v>
      </c>
      <c r="E109">
        <v>0</v>
      </c>
      <c r="F109" t="s">
        <v>354</v>
      </c>
      <c r="G109" t="str">
        <f t="shared" si="4"/>
        <v>Excellent</v>
      </c>
      <c r="H109">
        <f t="shared" si="7"/>
        <v>31</v>
      </c>
      <c r="I109" t="str">
        <f t="shared" si="6"/>
        <v>Low</v>
      </c>
    </row>
    <row r="110" spans="1:9" x14ac:dyDescent="0.25">
      <c r="A110" t="s">
        <v>301</v>
      </c>
      <c r="B110" s="3">
        <v>1875</v>
      </c>
      <c r="C110" s="3">
        <v>1899</v>
      </c>
      <c r="D110" s="1">
        <v>0.01</v>
      </c>
      <c r="E110">
        <v>0</v>
      </c>
      <c r="F110" t="s">
        <v>354</v>
      </c>
      <c r="G110" t="str">
        <f t="shared" si="4"/>
        <v>Excellent</v>
      </c>
      <c r="H110">
        <f t="shared" si="7"/>
        <v>24</v>
      </c>
      <c r="I110" t="str">
        <f t="shared" si="6"/>
        <v>Low</v>
      </c>
    </row>
    <row r="111" spans="1:9" x14ac:dyDescent="0.25">
      <c r="A111" s="12"/>
      <c r="B111" s="13"/>
      <c r="C111" s="13"/>
      <c r="D111" s="18"/>
      <c r="E111" s="14"/>
      <c r="F111" s="15"/>
      <c r="G111" s="15"/>
      <c r="H111" s="13"/>
      <c r="I111" s="15"/>
    </row>
    <row r="112" spans="1:9" x14ac:dyDescent="0.25">
      <c r="H112" s="3"/>
    </row>
    <row r="113" spans="1:8" x14ac:dyDescent="0.25">
      <c r="H113" s="3"/>
    </row>
    <row r="114" spans="1:8" x14ac:dyDescent="0.25">
      <c r="H114" s="3"/>
    </row>
    <row r="115" spans="1:8" x14ac:dyDescent="0.25">
      <c r="H115" s="3"/>
    </row>
    <row r="116" spans="1:8" x14ac:dyDescent="0.25">
      <c r="A116" t="s">
        <v>327</v>
      </c>
      <c r="B116" s="3">
        <f>MAX(B2:B109)</f>
        <v>3750</v>
      </c>
    </row>
    <row r="117" spans="1:8" x14ac:dyDescent="0.25">
      <c r="A117" t="s">
        <v>328</v>
      </c>
      <c r="B117" s="3">
        <f>MIN(B2:B109)</f>
        <v>38</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7"/>
  <sheetViews>
    <sheetView workbookViewId="0">
      <pane ySplit="1" topLeftCell="A85" activePane="bottomLeft" state="frozen"/>
      <selection pane="bottomLeft" activeCell="C104" sqref="C104"/>
    </sheetView>
  </sheetViews>
  <sheetFormatPr defaultRowHeight="15" x14ac:dyDescent="0.25"/>
  <cols>
    <col min="1" max="1" width="45.7109375" customWidth="1"/>
    <col min="2" max="2" width="19.5703125" style="3" bestFit="1" customWidth="1"/>
    <col min="3" max="3" width="11.7109375" style="3" bestFit="1" customWidth="1"/>
    <col min="4" max="4" width="11" style="6" bestFit="1" customWidth="1"/>
    <col min="5" max="5" width="9.85546875" style="5" bestFit="1" customWidth="1"/>
    <col min="6" max="6" width="12.7109375" bestFit="1" customWidth="1"/>
    <col min="7" max="7" width="17.42578125" customWidth="1"/>
    <col min="8" max="8" width="18.7109375" bestFit="1" customWidth="1"/>
    <col min="9" max="9" width="19.5703125" bestFit="1" customWidth="1"/>
    <col min="10" max="10" width="11.7109375" customWidth="1"/>
    <col min="11" max="11" width="11" customWidth="1"/>
  </cols>
  <sheetData>
    <row r="1" spans="1:11" s="2" customFormat="1" x14ac:dyDescent="0.25">
      <c r="A1" s="2" t="s">
        <v>0</v>
      </c>
      <c r="B1" s="2" t="s">
        <v>1</v>
      </c>
      <c r="C1" s="2" t="s">
        <v>2</v>
      </c>
      <c r="D1" s="2" t="s">
        <v>3</v>
      </c>
      <c r="E1" s="2" t="s">
        <v>4</v>
      </c>
      <c r="F1" s="2" t="s">
        <v>323</v>
      </c>
      <c r="G1" s="2" t="s">
        <v>326</v>
      </c>
      <c r="H1" s="2" t="s">
        <v>325</v>
      </c>
      <c r="I1" s="2" t="s">
        <v>324</v>
      </c>
      <c r="J1" s="2" t="s">
        <v>351</v>
      </c>
      <c r="K1" s="2" t="s">
        <v>352</v>
      </c>
    </row>
    <row r="2" spans="1:11" x14ac:dyDescent="0.25">
      <c r="A2" t="s">
        <v>194</v>
      </c>
      <c r="B2">
        <v>445</v>
      </c>
      <c r="C2">
        <v>873</v>
      </c>
      <c r="D2">
        <v>0.49</v>
      </c>
      <c r="E2">
        <v>69</v>
      </c>
      <c r="F2">
        <v>2.8</v>
      </c>
      <c r="G2" t="str">
        <f t="shared" ref="G2:G33" si="0">IF(F2="Not Provided","N/A",IF(F2&lt;3,"Poor",IF(F2&lt;=4.4,"Average","Excellent")))</f>
        <v>Poor</v>
      </c>
      <c r="H2">
        <f t="shared" ref="H2:H33" si="1">C2-B2</f>
        <v>428</v>
      </c>
      <c r="I2" t="str">
        <f t="shared" ref="I2:I33" si="2">IF(D2&lt;20%,"Low",IF(D2&lt;=40%,"Medium","High"))</f>
        <v>High</v>
      </c>
    </row>
    <row r="3" spans="1:11" x14ac:dyDescent="0.25">
      <c r="A3" t="s">
        <v>30</v>
      </c>
      <c r="B3">
        <v>2319</v>
      </c>
      <c r="C3">
        <v>3032</v>
      </c>
      <c r="D3">
        <v>0.24</v>
      </c>
      <c r="E3">
        <v>55</v>
      </c>
      <c r="F3">
        <v>4.5999999999999996</v>
      </c>
      <c r="G3" t="str">
        <f t="shared" si="0"/>
        <v>Excellent</v>
      </c>
      <c r="H3">
        <f t="shared" si="1"/>
        <v>713</v>
      </c>
      <c r="I3" t="str">
        <f t="shared" si="2"/>
        <v>Medium</v>
      </c>
    </row>
    <row r="4" spans="1:11" x14ac:dyDescent="0.25">
      <c r="A4" t="s">
        <v>89</v>
      </c>
      <c r="B4">
        <v>420</v>
      </c>
      <c r="C4">
        <v>647</v>
      </c>
      <c r="D4">
        <v>0.35</v>
      </c>
      <c r="E4">
        <v>49</v>
      </c>
      <c r="F4">
        <v>4.5999999999999996</v>
      </c>
      <c r="G4" t="str">
        <f t="shared" si="0"/>
        <v>Excellent</v>
      </c>
      <c r="H4">
        <f t="shared" si="1"/>
        <v>227</v>
      </c>
      <c r="I4" t="str">
        <f t="shared" si="2"/>
        <v>Medium</v>
      </c>
    </row>
    <row r="5" spans="1:11" x14ac:dyDescent="0.25">
      <c r="A5" t="s">
        <v>68</v>
      </c>
      <c r="B5">
        <v>998</v>
      </c>
      <c r="C5">
        <v>1966</v>
      </c>
      <c r="D5">
        <v>0.49</v>
      </c>
      <c r="E5">
        <v>44</v>
      </c>
      <c r="F5">
        <v>4.5999999999999996</v>
      </c>
      <c r="G5" t="str">
        <f t="shared" si="0"/>
        <v>Excellent</v>
      </c>
      <c r="H5">
        <f t="shared" si="1"/>
        <v>968</v>
      </c>
      <c r="I5" t="str">
        <f t="shared" si="2"/>
        <v>High</v>
      </c>
    </row>
    <row r="6" spans="1:11" x14ac:dyDescent="0.25">
      <c r="A6" t="s">
        <v>44</v>
      </c>
      <c r="B6">
        <v>990</v>
      </c>
      <c r="C6">
        <v>1500</v>
      </c>
      <c r="D6">
        <v>0.34</v>
      </c>
      <c r="E6">
        <v>39</v>
      </c>
      <c r="F6">
        <v>4.7</v>
      </c>
      <c r="G6" t="str">
        <f t="shared" si="0"/>
        <v>Excellent</v>
      </c>
      <c r="H6">
        <f t="shared" si="1"/>
        <v>510</v>
      </c>
      <c r="I6" t="str">
        <f t="shared" si="2"/>
        <v>Medium</v>
      </c>
    </row>
    <row r="7" spans="1:11" x14ac:dyDescent="0.25">
      <c r="A7" t="s">
        <v>122</v>
      </c>
      <c r="B7">
        <v>389</v>
      </c>
      <c r="C7">
        <v>656</v>
      </c>
      <c r="D7">
        <v>0.41</v>
      </c>
      <c r="E7">
        <v>36</v>
      </c>
      <c r="F7">
        <v>4.3</v>
      </c>
      <c r="G7" t="str">
        <f t="shared" si="0"/>
        <v>Average</v>
      </c>
      <c r="H7">
        <f t="shared" si="1"/>
        <v>267</v>
      </c>
      <c r="I7" t="str">
        <f t="shared" si="2"/>
        <v>High</v>
      </c>
    </row>
    <row r="8" spans="1:11" x14ac:dyDescent="0.25">
      <c r="A8" t="s">
        <v>114</v>
      </c>
      <c r="B8">
        <v>1980</v>
      </c>
      <c r="C8">
        <v>2699</v>
      </c>
      <c r="D8">
        <v>0.27</v>
      </c>
      <c r="E8">
        <v>32</v>
      </c>
      <c r="F8">
        <v>4.5</v>
      </c>
      <c r="G8" t="str">
        <f t="shared" si="0"/>
        <v>Excellent</v>
      </c>
      <c r="H8">
        <f t="shared" si="1"/>
        <v>719</v>
      </c>
      <c r="I8" t="str">
        <f t="shared" si="2"/>
        <v>Medium</v>
      </c>
    </row>
    <row r="9" spans="1:11" x14ac:dyDescent="0.25">
      <c r="A9" t="s">
        <v>14</v>
      </c>
      <c r="B9">
        <v>2199</v>
      </c>
      <c r="C9">
        <v>2923</v>
      </c>
      <c r="D9">
        <v>0.25</v>
      </c>
      <c r="E9">
        <v>24</v>
      </c>
      <c r="F9">
        <v>4.5999999999999996</v>
      </c>
      <c r="G9" t="str">
        <f t="shared" si="0"/>
        <v>Excellent</v>
      </c>
      <c r="H9">
        <f t="shared" si="1"/>
        <v>724</v>
      </c>
      <c r="I9" t="str">
        <f t="shared" si="2"/>
        <v>Medium</v>
      </c>
    </row>
    <row r="10" spans="1:11" x14ac:dyDescent="0.25">
      <c r="A10" t="s">
        <v>97</v>
      </c>
      <c r="B10">
        <v>1758</v>
      </c>
      <c r="C10">
        <v>2499</v>
      </c>
      <c r="D10">
        <v>0.3</v>
      </c>
      <c r="E10">
        <v>20</v>
      </c>
      <c r="F10">
        <v>4.0999999999999996</v>
      </c>
      <c r="G10" t="str">
        <f t="shared" si="0"/>
        <v>Average</v>
      </c>
      <c r="H10">
        <f t="shared" si="1"/>
        <v>741</v>
      </c>
      <c r="I10" t="str">
        <f t="shared" si="2"/>
        <v>Medium</v>
      </c>
    </row>
    <row r="11" spans="1:11" x14ac:dyDescent="0.25">
      <c r="A11" t="s">
        <v>111</v>
      </c>
      <c r="B11">
        <v>1940</v>
      </c>
      <c r="C11">
        <v>2650</v>
      </c>
      <c r="D11">
        <v>0.27</v>
      </c>
      <c r="E11">
        <v>20</v>
      </c>
      <c r="F11">
        <v>4.7</v>
      </c>
      <c r="G11" t="str">
        <f t="shared" si="0"/>
        <v>Excellent</v>
      </c>
      <c r="H11">
        <f t="shared" si="1"/>
        <v>710</v>
      </c>
      <c r="I11" t="str">
        <f t="shared" si="2"/>
        <v>Medium</v>
      </c>
    </row>
    <row r="12" spans="1:11" x14ac:dyDescent="0.25">
      <c r="A12" t="s">
        <v>215</v>
      </c>
      <c r="B12">
        <v>382</v>
      </c>
      <c r="C12">
        <v>700</v>
      </c>
      <c r="D12">
        <v>0.45</v>
      </c>
      <c r="E12">
        <v>17</v>
      </c>
      <c r="F12">
        <v>2.6</v>
      </c>
      <c r="G12" t="str">
        <f t="shared" si="0"/>
        <v>Poor</v>
      </c>
      <c r="H12">
        <f t="shared" si="1"/>
        <v>318</v>
      </c>
      <c r="I12" t="str">
        <f t="shared" si="2"/>
        <v>High</v>
      </c>
    </row>
    <row r="13" spans="1:11" x14ac:dyDescent="0.25">
      <c r="A13" t="s">
        <v>202</v>
      </c>
      <c r="B13">
        <v>1220</v>
      </c>
      <c r="C13">
        <v>1555</v>
      </c>
      <c r="D13">
        <v>0.22</v>
      </c>
      <c r="E13">
        <v>16</v>
      </c>
      <c r="F13">
        <v>2.9</v>
      </c>
      <c r="G13" t="str">
        <f t="shared" si="0"/>
        <v>Poor</v>
      </c>
      <c r="H13">
        <f t="shared" si="1"/>
        <v>335</v>
      </c>
      <c r="I13" t="str">
        <f t="shared" si="2"/>
        <v>Medium</v>
      </c>
    </row>
    <row r="14" spans="1:11" x14ac:dyDescent="0.25">
      <c r="A14" t="s">
        <v>198</v>
      </c>
      <c r="B14">
        <v>325</v>
      </c>
      <c r="C14">
        <v>680</v>
      </c>
      <c r="D14">
        <v>0.52</v>
      </c>
      <c r="E14">
        <v>15</v>
      </c>
      <c r="F14">
        <v>2.7</v>
      </c>
      <c r="G14" t="str">
        <f t="shared" si="0"/>
        <v>Poor</v>
      </c>
      <c r="H14">
        <f t="shared" si="1"/>
        <v>355</v>
      </c>
      <c r="I14" t="str">
        <f t="shared" si="2"/>
        <v>High</v>
      </c>
    </row>
    <row r="15" spans="1:11" x14ac:dyDescent="0.25">
      <c r="A15" t="s">
        <v>26</v>
      </c>
      <c r="B15">
        <v>2999</v>
      </c>
      <c r="C15">
        <v>3290</v>
      </c>
      <c r="D15">
        <v>0.09</v>
      </c>
      <c r="E15">
        <v>15</v>
      </c>
      <c r="F15">
        <v>4</v>
      </c>
      <c r="G15" t="str">
        <f t="shared" si="0"/>
        <v>Average</v>
      </c>
      <c r="H15">
        <f t="shared" si="1"/>
        <v>291</v>
      </c>
      <c r="I15" t="str">
        <f t="shared" si="2"/>
        <v>Low</v>
      </c>
    </row>
    <row r="16" spans="1:11" x14ac:dyDescent="0.25">
      <c r="A16" t="s">
        <v>81</v>
      </c>
      <c r="B16">
        <v>1650</v>
      </c>
      <c r="C16">
        <v>2150</v>
      </c>
      <c r="D16">
        <v>0.23</v>
      </c>
      <c r="E16">
        <v>14</v>
      </c>
      <c r="F16">
        <v>4.4000000000000004</v>
      </c>
      <c r="G16" t="str">
        <f t="shared" si="0"/>
        <v>Average</v>
      </c>
      <c r="H16">
        <f t="shared" si="1"/>
        <v>500</v>
      </c>
      <c r="I16" t="str">
        <f t="shared" si="2"/>
        <v>Medium</v>
      </c>
    </row>
    <row r="17" spans="1:9" x14ac:dyDescent="0.25">
      <c r="A17" t="s">
        <v>10</v>
      </c>
      <c r="B17">
        <v>527</v>
      </c>
      <c r="C17">
        <v>999</v>
      </c>
      <c r="D17">
        <v>0.47</v>
      </c>
      <c r="E17">
        <v>14</v>
      </c>
      <c r="F17">
        <v>4.0999999999999996</v>
      </c>
      <c r="G17" t="str">
        <f t="shared" si="0"/>
        <v>Average</v>
      </c>
      <c r="H17">
        <f t="shared" si="1"/>
        <v>472</v>
      </c>
      <c r="I17" t="str">
        <f t="shared" si="2"/>
        <v>High</v>
      </c>
    </row>
    <row r="18" spans="1:9" x14ac:dyDescent="0.25">
      <c r="A18" t="s">
        <v>190</v>
      </c>
      <c r="B18">
        <v>2115</v>
      </c>
      <c r="C18">
        <v>4700</v>
      </c>
      <c r="D18">
        <v>0.55000000000000004</v>
      </c>
      <c r="E18">
        <v>13</v>
      </c>
      <c r="F18">
        <v>2.1</v>
      </c>
      <c r="G18" t="str">
        <f t="shared" si="0"/>
        <v>Poor</v>
      </c>
      <c r="H18">
        <f t="shared" si="1"/>
        <v>2585</v>
      </c>
      <c r="I18" t="str">
        <f t="shared" si="2"/>
        <v>High</v>
      </c>
    </row>
    <row r="19" spans="1:9" x14ac:dyDescent="0.25">
      <c r="A19" t="s">
        <v>95</v>
      </c>
      <c r="B19">
        <v>1350</v>
      </c>
      <c r="C19">
        <v>1990</v>
      </c>
      <c r="D19">
        <v>0.32</v>
      </c>
      <c r="E19">
        <v>13</v>
      </c>
      <c r="F19">
        <v>3.8</v>
      </c>
      <c r="G19" t="str">
        <f t="shared" si="0"/>
        <v>Average</v>
      </c>
      <c r="H19">
        <f t="shared" si="1"/>
        <v>640</v>
      </c>
      <c r="I19" t="str">
        <f t="shared" si="2"/>
        <v>Medium</v>
      </c>
    </row>
    <row r="20" spans="1:9" x14ac:dyDescent="0.25">
      <c r="A20" t="s">
        <v>71</v>
      </c>
      <c r="B20">
        <v>38</v>
      </c>
      <c r="C20">
        <v>80</v>
      </c>
      <c r="D20">
        <v>0.53</v>
      </c>
      <c r="E20">
        <v>13</v>
      </c>
      <c r="F20">
        <v>3.3</v>
      </c>
      <c r="G20" t="str">
        <f t="shared" si="0"/>
        <v>Average</v>
      </c>
      <c r="H20">
        <f t="shared" si="1"/>
        <v>42</v>
      </c>
      <c r="I20" t="str">
        <f t="shared" si="2"/>
        <v>High</v>
      </c>
    </row>
    <row r="21" spans="1:9" x14ac:dyDescent="0.25">
      <c r="A21" t="s">
        <v>92</v>
      </c>
      <c r="B21">
        <v>2880</v>
      </c>
      <c r="C21">
        <v>3520</v>
      </c>
      <c r="D21">
        <v>0.18</v>
      </c>
      <c r="E21">
        <v>12</v>
      </c>
      <c r="F21">
        <v>3.8</v>
      </c>
      <c r="G21" t="str">
        <f t="shared" si="0"/>
        <v>Average</v>
      </c>
      <c r="H21">
        <f t="shared" si="1"/>
        <v>640</v>
      </c>
      <c r="I21" t="str">
        <f t="shared" si="2"/>
        <v>Low</v>
      </c>
    </row>
    <row r="22" spans="1:9" x14ac:dyDescent="0.25">
      <c r="A22" t="s">
        <v>105</v>
      </c>
      <c r="B22">
        <v>980</v>
      </c>
      <c r="C22">
        <v>1490</v>
      </c>
      <c r="D22">
        <v>0.34</v>
      </c>
      <c r="E22">
        <v>12</v>
      </c>
      <c r="F22">
        <v>4.7</v>
      </c>
      <c r="G22" t="str">
        <f t="shared" si="0"/>
        <v>Excellent</v>
      </c>
      <c r="H22">
        <f t="shared" si="1"/>
        <v>510</v>
      </c>
      <c r="I22" t="str">
        <f t="shared" si="2"/>
        <v>Medium</v>
      </c>
    </row>
    <row r="23" spans="1:9" x14ac:dyDescent="0.25">
      <c r="A23" t="s">
        <v>47</v>
      </c>
      <c r="B23">
        <v>552</v>
      </c>
      <c r="C23">
        <v>1035</v>
      </c>
      <c r="D23">
        <v>0.47</v>
      </c>
      <c r="E23">
        <v>12</v>
      </c>
      <c r="F23">
        <v>4.8</v>
      </c>
      <c r="G23" t="str">
        <f t="shared" si="0"/>
        <v>Excellent</v>
      </c>
      <c r="H23">
        <f t="shared" si="1"/>
        <v>483</v>
      </c>
      <c r="I23" t="str">
        <f t="shared" si="2"/>
        <v>High</v>
      </c>
    </row>
    <row r="24" spans="1:9" x14ac:dyDescent="0.25">
      <c r="A24" t="s">
        <v>42</v>
      </c>
      <c r="B24">
        <v>799</v>
      </c>
      <c r="C24">
        <v>999</v>
      </c>
      <c r="D24">
        <v>0.2</v>
      </c>
      <c r="E24">
        <v>12</v>
      </c>
      <c r="F24">
        <v>4.0999999999999996</v>
      </c>
      <c r="G24" t="str">
        <f t="shared" si="0"/>
        <v>Average</v>
      </c>
      <c r="H24">
        <f t="shared" si="1"/>
        <v>200</v>
      </c>
      <c r="I24" t="str">
        <f t="shared" si="2"/>
        <v>Medium</v>
      </c>
    </row>
    <row r="25" spans="1:9" x14ac:dyDescent="0.25">
      <c r="A25" t="s">
        <v>186</v>
      </c>
      <c r="B25">
        <v>458</v>
      </c>
      <c r="C25">
        <v>986</v>
      </c>
      <c r="D25">
        <v>0.54</v>
      </c>
      <c r="E25">
        <v>10</v>
      </c>
      <c r="F25">
        <v>3</v>
      </c>
      <c r="G25" t="str">
        <f t="shared" si="0"/>
        <v>Average</v>
      </c>
      <c r="H25">
        <f t="shared" si="1"/>
        <v>528</v>
      </c>
      <c r="I25" t="str">
        <f t="shared" si="2"/>
        <v>High</v>
      </c>
    </row>
    <row r="26" spans="1:9" x14ac:dyDescent="0.25">
      <c r="A26" t="s">
        <v>108</v>
      </c>
      <c r="B26">
        <v>1820</v>
      </c>
      <c r="C26">
        <v>3490</v>
      </c>
      <c r="D26">
        <v>0.48</v>
      </c>
      <c r="E26">
        <v>9</v>
      </c>
      <c r="F26">
        <v>4.3</v>
      </c>
      <c r="G26" t="str">
        <f t="shared" si="0"/>
        <v>Average</v>
      </c>
      <c r="H26">
        <f t="shared" si="1"/>
        <v>1670</v>
      </c>
      <c r="I26" t="str">
        <f t="shared" si="2"/>
        <v>High</v>
      </c>
    </row>
    <row r="27" spans="1:9" x14ac:dyDescent="0.25">
      <c r="A27" t="s">
        <v>53</v>
      </c>
      <c r="B27">
        <v>1680</v>
      </c>
      <c r="C27">
        <v>2499</v>
      </c>
      <c r="D27">
        <v>0.33</v>
      </c>
      <c r="E27">
        <v>9</v>
      </c>
      <c r="F27">
        <v>4.2</v>
      </c>
      <c r="G27" t="str">
        <f t="shared" si="0"/>
        <v>Average</v>
      </c>
      <c r="H27">
        <f t="shared" si="1"/>
        <v>819</v>
      </c>
      <c r="I27" t="str">
        <f t="shared" si="2"/>
        <v>Medium</v>
      </c>
    </row>
    <row r="28" spans="1:9" x14ac:dyDescent="0.25">
      <c r="A28" t="s">
        <v>102</v>
      </c>
      <c r="B28">
        <v>185</v>
      </c>
      <c r="C28">
        <v>382</v>
      </c>
      <c r="D28">
        <v>0.52</v>
      </c>
      <c r="E28">
        <v>9</v>
      </c>
      <c r="F28">
        <v>4.3</v>
      </c>
      <c r="G28" t="str">
        <f t="shared" si="0"/>
        <v>Average</v>
      </c>
      <c r="H28">
        <f t="shared" si="1"/>
        <v>197</v>
      </c>
      <c r="I28" t="str">
        <f t="shared" si="2"/>
        <v>High</v>
      </c>
    </row>
    <row r="29" spans="1:9" x14ac:dyDescent="0.25">
      <c r="A29" t="s">
        <v>85</v>
      </c>
      <c r="B29">
        <v>2048</v>
      </c>
      <c r="C29">
        <v>4500</v>
      </c>
      <c r="D29">
        <v>0.54</v>
      </c>
      <c r="E29">
        <v>7</v>
      </c>
      <c r="F29">
        <v>4.3</v>
      </c>
      <c r="G29" t="str">
        <f t="shared" si="0"/>
        <v>Average</v>
      </c>
      <c r="H29">
        <f t="shared" si="1"/>
        <v>2452</v>
      </c>
      <c r="I29" t="str">
        <f t="shared" si="2"/>
        <v>High</v>
      </c>
    </row>
    <row r="30" spans="1:9" x14ac:dyDescent="0.25">
      <c r="A30" t="s">
        <v>229</v>
      </c>
      <c r="B30">
        <v>1570</v>
      </c>
      <c r="C30">
        <v>2988</v>
      </c>
      <c r="D30">
        <v>0.47</v>
      </c>
      <c r="E30">
        <v>7</v>
      </c>
      <c r="F30">
        <v>2.1</v>
      </c>
      <c r="G30" t="str">
        <f t="shared" si="0"/>
        <v>Poor</v>
      </c>
      <c r="H30">
        <f t="shared" si="1"/>
        <v>1418</v>
      </c>
      <c r="I30" t="str">
        <f t="shared" si="2"/>
        <v>High</v>
      </c>
    </row>
    <row r="31" spans="1:9" x14ac:dyDescent="0.25">
      <c r="A31" t="s">
        <v>209</v>
      </c>
      <c r="B31">
        <v>1000</v>
      </c>
      <c r="C31">
        <v>2000</v>
      </c>
      <c r="D31">
        <v>0.5</v>
      </c>
      <c r="E31">
        <v>7</v>
      </c>
      <c r="F31">
        <v>2.2999999999999998</v>
      </c>
      <c r="G31" t="str">
        <f t="shared" si="0"/>
        <v>Poor</v>
      </c>
      <c r="H31">
        <f t="shared" si="1"/>
        <v>1000</v>
      </c>
      <c r="I31" t="str">
        <f t="shared" si="2"/>
        <v>High</v>
      </c>
    </row>
    <row r="32" spans="1:9" x14ac:dyDescent="0.25">
      <c r="A32" t="s">
        <v>18</v>
      </c>
      <c r="B32">
        <v>1580</v>
      </c>
      <c r="C32">
        <v>2499</v>
      </c>
      <c r="D32">
        <v>0.37</v>
      </c>
      <c r="E32">
        <v>7</v>
      </c>
      <c r="F32">
        <v>4.7</v>
      </c>
      <c r="G32" t="str">
        <f t="shared" si="0"/>
        <v>Excellent</v>
      </c>
      <c r="H32">
        <f t="shared" si="1"/>
        <v>919</v>
      </c>
      <c r="I32" t="str">
        <f t="shared" si="2"/>
        <v>Medium</v>
      </c>
    </row>
    <row r="33" spans="1:9 16384:16384" x14ac:dyDescent="0.25">
      <c r="A33" t="s">
        <v>227</v>
      </c>
      <c r="B33">
        <v>968</v>
      </c>
      <c r="C33">
        <v>1814</v>
      </c>
      <c r="D33">
        <v>0.47</v>
      </c>
      <c r="E33">
        <v>6</v>
      </c>
      <c r="F33">
        <v>2.2000000000000002</v>
      </c>
      <c r="G33" t="str">
        <f t="shared" si="0"/>
        <v>Poor</v>
      </c>
      <c r="H33">
        <f t="shared" si="1"/>
        <v>846</v>
      </c>
      <c r="I33" t="str">
        <f t="shared" si="2"/>
        <v>High</v>
      </c>
    </row>
    <row r="34" spans="1:9 16384:16384" x14ac:dyDescent="0.25">
      <c r="A34" t="s">
        <v>206</v>
      </c>
      <c r="B34">
        <v>990</v>
      </c>
      <c r="C34">
        <v>1814</v>
      </c>
      <c r="D34">
        <v>0.45</v>
      </c>
      <c r="E34">
        <v>6</v>
      </c>
      <c r="F34">
        <v>2.2000000000000002</v>
      </c>
      <c r="G34" t="str">
        <f t="shared" ref="G34:G65" si="3">IF(F34="Not Provided","N/A",IF(F34&lt;3,"Poor",IF(F34&lt;=4.4,"Average","Excellent")))</f>
        <v>Poor</v>
      </c>
      <c r="H34">
        <f t="shared" ref="H34:H65" si="4">C34-B34</f>
        <v>824</v>
      </c>
      <c r="I34" t="str">
        <f t="shared" ref="I34:I65" si="5">IF(D34&lt;20%,"Low",IF(D34&lt;=40%,"Medium","High"))</f>
        <v>High</v>
      </c>
    </row>
    <row r="35" spans="1:9 16384:16384" x14ac:dyDescent="0.25">
      <c r="A35" t="s">
        <v>78</v>
      </c>
      <c r="B35">
        <v>880</v>
      </c>
      <c r="C35">
        <v>1350</v>
      </c>
      <c r="D35">
        <v>0.35</v>
      </c>
      <c r="E35">
        <v>6</v>
      </c>
      <c r="F35">
        <v>4</v>
      </c>
      <c r="G35" t="str">
        <f t="shared" si="3"/>
        <v>Average</v>
      </c>
      <c r="H35">
        <f t="shared" si="4"/>
        <v>470</v>
      </c>
      <c r="I35" t="str">
        <f t="shared" si="5"/>
        <v>Medium</v>
      </c>
    </row>
    <row r="36" spans="1:9 16384:16384" x14ac:dyDescent="0.25">
      <c r="A36" t="s">
        <v>50</v>
      </c>
      <c r="B36">
        <v>501</v>
      </c>
      <c r="C36">
        <v>860</v>
      </c>
      <c r="D36">
        <v>0.42</v>
      </c>
      <c r="E36">
        <v>6</v>
      </c>
      <c r="F36">
        <v>4.5</v>
      </c>
      <c r="G36" t="str">
        <f t="shared" si="3"/>
        <v>Excellent</v>
      </c>
      <c r="H36">
        <f t="shared" si="4"/>
        <v>359</v>
      </c>
      <c r="I36" t="str">
        <f t="shared" si="5"/>
        <v>High</v>
      </c>
    </row>
    <row r="37" spans="1:9 16384:16384" x14ac:dyDescent="0.25">
      <c r="A37" t="s">
        <v>182</v>
      </c>
      <c r="B37">
        <v>2170</v>
      </c>
      <c r="C37">
        <v>2500</v>
      </c>
      <c r="D37">
        <v>0.13</v>
      </c>
      <c r="E37">
        <v>6</v>
      </c>
      <c r="F37">
        <v>2.5</v>
      </c>
      <c r="G37" t="str">
        <f t="shared" si="3"/>
        <v>Poor</v>
      </c>
      <c r="H37">
        <f t="shared" si="4"/>
        <v>330</v>
      </c>
      <c r="I37" t="str">
        <f t="shared" si="5"/>
        <v>Low</v>
      </c>
    </row>
    <row r="38" spans="1:9 16384:16384" x14ac:dyDescent="0.25">
      <c r="A38" t="s">
        <v>221</v>
      </c>
      <c r="B38">
        <v>345</v>
      </c>
      <c r="C38">
        <v>602</v>
      </c>
      <c r="D38">
        <v>0.43</v>
      </c>
      <c r="E38">
        <v>6</v>
      </c>
      <c r="F38">
        <v>2.2999999999999998</v>
      </c>
      <c r="G38" t="str">
        <f t="shared" si="3"/>
        <v>Poor</v>
      </c>
      <c r="H38">
        <f t="shared" si="4"/>
        <v>257</v>
      </c>
      <c r="I38" t="str">
        <f t="shared" si="5"/>
        <v>High</v>
      </c>
    </row>
    <row r="39" spans="1:9 16384:16384" x14ac:dyDescent="0.25">
      <c r="A39" t="s">
        <v>212</v>
      </c>
      <c r="B39">
        <v>3750</v>
      </c>
      <c r="C39">
        <v>6143</v>
      </c>
      <c r="D39">
        <v>0.39</v>
      </c>
      <c r="E39">
        <v>5</v>
      </c>
      <c r="F39">
        <v>3</v>
      </c>
      <c r="G39" t="str">
        <f t="shared" si="3"/>
        <v>Average</v>
      </c>
      <c r="H39">
        <f t="shared" si="4"/>
        <v>2393</v>
      </c>
      <c r="I39" t="str">
        <f t="shared" si="5"/>
        <v>Medium</v>
      </c>
    </row>
    <row r="40" spans="1:9 16384:16384" x14ac:dyDescent="0.25">
      <c r="A40" t="s">
        <v>35</v>
      </c>
      <c r="B40">
        <v>1274</v>
      </c>
      <c r="C40">
        <v>2800</v>
      </c>
      <c r="D40">
        <v>0.55000000000000004</v>
      </c>
      <c r="E40">
        <v>5</v>
      </c>
      <c r="F40">
        <v>4.8</v>
      </c>
      <c r="G40" t="str">
        <f t="shared" si="3"/>
        <v>Excellent</v>
      </c>
      <c r="H40">
        <f t="shared" si="4"/>
        <v>1526</v>
      </c>
      <c r="I40" t="str">
        <f t="shared" si="5"/>
        <v>High</v>
      </c>
    </row>
    <row r="41" spans="1:9 16384:16384" x14ac:dyDescent="0.25">
      <c r="A41" t="s">
        <v>38</v>
      </c>
      <c r="B41">
        <v>1600</v>
      </c>
      <c r="C41">
        <v>2929</v>
      </c>
      <c r="D41">
        <v>0.45</v>
      </c>
      <c r="E41">
        <v>5</v>
      </c>
      <c r="F41">
        <v>3.8</v>
      </c>
      <c r="G41" t="str">
        <f t="shared" si="3"/>
        <v>Average</v>
      </c>
      <c r="H41">
        <f t="shared" si="4"/>
        <v>1329</v>
      </c>
      <c r="I41" t="str">
        <f t="shared" si="5"/>
        <v>High</v>
      </c>
    </row>
    <row r="42" spans="1:9 16384:16384" x14ac:dyDescent="0.25">
      <c r="A42" t="s">
        <v>218</v>
      </c>
      <c r="B42">
        <v>2300</v>
      </c>
      <c r="C42">
        <v>3240</v>
      </c>
      <c r="D42">
        <v>0.28999999999999998</v>
      </c>
      <c r="E42">
        <v>5</v>
      </c>
      <c r="F42">
        <v>3</v>
      </c>
      <c r="G42" t="str">
        <f t="shared" si="3"/>
        <v>Average</v>
      </c>
      <c r="H42">
        <f t="shared" si="4"/>
        <v>940</v>
      </c>
      <c r="I42" t="str">
        <f t="shared" si="5"/>
        <v>Medium</v>
      </c>
    </row>
    <row r="43" spans="1:9 16384:16384" x14ac:dyDescent="0.25">
      <c r="A43" t="s">
        <v>66</v>
      </c>
      <c r="B43">
        <v>2999</v>
      </c>
      <c r="C43">
        <v>3699</v>
      </c>
      <c r="D43">
        <v>0.19</v>
      </c>
      <c r="E43">
        <v>5</v>
      </c>
      <c r="F43">
        <v>4.5999999999999996</v>
      </c>
      <c r="G43" t="str">
        <f t="shared" si="3"/>
        <v>Excellent</v>
      </c>
      <c r="H43">
        <f t="shared" si="4"/>
        <v>700</v>
      </c>
      <c r="I43" t="str">
        <f t="shared" si="5"/>
        <v>Low</v>
      </c>
    </row>
    <row r="44" spans="1:9 16384:16384" x14ac:dyDescent="0.25">
      <c r="A44" t="s">
        <v>22</v>
      </c>
      <c r="B44">
        <v>1740</v>
      </c>
      <c r="C44">
        <v>2356</v>
      </c>
      <c r="D44">
        <v>0.26</v>
      </c>
      <c r="E44">
        <v>5</v>
      </c>
      <c r="F44">
        <v>4.8</v>
      </c>
      <c r="G44" t="str">
        <f t="shared" si="3"/>
        <v>Excellent</v>
      </c>
      <c r="H44">
        <f t="shared" si="4"/>
        <v>616</v>
      </c>
      <c r="I44" t="str">
        <f t="shared" si="5"/>
        <v>Medium</v>
      </c>
    </row>
    <row r="45" spans="1:9 16384:16384" x14ac:dyDescent="0.25">
      <c r="A45" t="s">
        <v>224</v>
      </c>
      <c r="B45">
        <v>509</v>
      </c>
      <c r="C45">
        <v>899</v>
      </c>
      <c r="D45">
        <v>0.43</v>
      </c>
      <c r="E45">
        <v>5</v>
      </c>
      <c r="F45">
        <v>3</v>
      </c>
      <c r="G45" t="str">
        <f t="shared" si="3"/>
        <v>Average</v>
      </c>
      <c r="H45">
        <f t="shared" si="4"/>
        <v>390</v>
      </c>
      <c r="I45" t="str">
        <f t="shared" si="5"/>
        <v>High</v>
      </c>
    </row>
    <row r="46" spans="1:9 16384:16384" x14ac:dyDescent="0.25">
      <c r="A46" t="s">
        <v>63</v>
      </c>
      <c r="B46">
        <v>2025</v>
      </c>
      <c r="C46">
        <v>3971</v>
      </c>
      <c r="D46">
        <v>0.49</v>
      </c>
      <c r="E46">
        <v>3</v>
      </c>
      <c r="F46">
        <v>5</v>
      </c>
      <c r="G46" t="str">
        <f t="shared" si="3"/>
        <v>Excellent</v>
      </c>
      <c r="H46">
        <f t="shared" si="4"/>
        <v>1946</v>
      </c>
      <c r="I46" t="str">
        <f t="shared" si="5"/>
        <v>High</v>
      </c>
      <c r="XFD46">
        <f>AVERAGE(A46:XFC46)</f>
        <v>1325.0816666666667</v>
      </c>
    </row>
    <row r="47" spans="1:9 16384:16384" x14ac:dyDescent="0.25">
      <c r="A47" t="s">
        <v>125</v>
      </c>
      <c r="B47">
        <v>1800</v>
      </c>
      <c r="C47">
        <v>2700</v>
      </c>
      <c r="D47">
        <v>0.38</v>
      </c>
      <c r="E47">
        <v>2</v>
      </c>
      <c r="F47">
        <v>4.5</v>
      </c>
      <c r="G47" t="str">
        <f t="shared" si="3"/>
        <v>Excellent</v>
      </c>
      <c r="H47">
        <f t="shared" si="4"/>
        <v>900</v>
      </c>
      <c r="I47" t="str">
        <f t="shared" si="5"/>
        <v>Medium</v>
      </c>
    </row>
    <row r="48" spans="1:9 16384:16384" x14ac:dyDescent="0.25">
      <c r="A48" t="s">
        <v>33</v>
      </c>
      <c r="B48">
        <v>988</v>
      </c>
      <c r="C48">
        <v>1580</v>
      </c>
      <c r="D48">
        <v>0.37</v>
      </c>
      <c r="E48">
        <v>2</v>
      </c>
      <c r="F48">
        <v>4</v>
      </c>
      <c r="G48" t="str">
        <f t="shared" si="3"/>
        <v>Average</v>
      </c>
      <c r="H48">
        <f t="shared" si="4"/>
        <v>592</v>
      </c>
      <c r="I48" t="str">
        <f t="shared" si="5"/>
        <v>Medium</v>
      </c>
    </row>
    <row r="49" spans="1:9" x14ac:dyDescent="0.25">
      <c r="A49" t="s">
        <v>6</v>
      </c>
      <c r="B49">
        <v>950</v>
      </c>
      <c r="C49">
        <v>1525</v>
      </c>
      <c r="D49">
        <v>0.38</v>
      </c>
      <c r="E49">
        <v>2</v>
      </c>
      <c r="F49">
        <v>4.5</v>
      </c>
      <c r="G49" t="str">
        <f t="shared" si="3"/>
        <v>Excellent</v>
      </c>
      <c r="H49">
        <f t="shared" si="4"/>
        <v>575</v>
      </c>
      <c r="I49" t="str">
        <f t="shared" si="5"/>
        <v>Medium</v>
      </c>
    </row>
    <row r="50" spans="1:9" x14ac:dyDescent="0.25">
      <c r="A50" t="s">
        <v>56</v>
      </c>
      <c r="B50">
        <v>332</v>
      </c>
      <c r="C50">
        <v>684</v>
      </c>
      <c r="D50">
        <v>0.51</v>
      </c>
      <c r="E50">
        <v>2</v>
      </c>
      <c r="F50">
        <v>5</v>
      </c>
      <c r="G50" t="str">
        <f t="shared" si="3"/>
        <v>Excellent</v>
      </c>
      <c r="H50">
        <f t="shared" si="4"/>
        <v>352</v>
      </c>
      <c r="I50" t="str">
        <f t="shared" si="5"/>
        <v>High</v>
      </c>
    </row>
    <row r="51" spans="1:9" x14ac:dyDescent="0.25">
      <c r="A51" t="s">
        <v>120</v>
      </c>
      <c r="B51">
        <v>171</v>
      </c>
      <c r="C51">
        <v>360</v>
      </c>
      <c r="D51">
        <v>0.53</v>
      </c>
      <c r="E51">
        <v>2</v>
      </c>
      <c r="F51">
        <v>5</v>
      </c>
      <c r="G51" t="str">
        <f t="shared" si="3"/>
        <v>Excellent</v>
      </c>
      <c r="H51">
        <f t="shared" si="4"/>
        <v>189</v>
      </c>
      <c r="I51" t="str">
        <f t="shared" si="5"/>
        <v>High</v>
      </c>
    </row>
    <row r="52" spans="1:9" x14ac:dyDescent="0.25">
      <c r="A52" t="s">
        <v>60</v>
      </c>
      <c r="B52">
        <v>195</v>
      </c>
      <c r="C52">
        <v>360</v>
      </c>
      <c r="D52">
        <v>0.46</v>
      </c>
      <c r="E52">
        <v>2</v>
      </c>
      <c r="F52">
        <v>5</v>
      </c>
      <c r="G52" t="str">
        <f t="shared" si="3"/>
        <v>Excellent</v>
      </c>
      <c r="H52">
        <f t="shared" si="4"/>
        <v>165</v>
      </c>
      <c r="I52" t="str">
        <f t="shared" si="5"/>
        <v>High</v>
      </c>
    </row>
    <row r="53" spans="1:9" x14ac:dyDescent="0.25">
      <c r="A53" t="s">
        <v>117</v>
      </c>
      <c r="B53">
        <v>1620</v>
      </c>
      <c r="C53">
        <v>2690</v>
      </c>
      <c r="D53">
        <v>0.4</v>
      </c>
      <c r="E53">
        <v>1</v>
      </c>
      <c r="F53">
        <v>5</v>
      </c>
      <c r="G53" t="str">
        <f t="shared" si="3"/>
        <v>Excellent</v>
      </c>
      <c r="H53">
        <f t="shared" si="4"/>
        <v>1070</v>
      </c>
      <c r="I53" t="str">
        <f t="shared" si="5"/>
        <v>Medium</v>
      </c>
    </row>
    <row r="54" spans="1:9" x14ac:dyDescent="0.25">
      <c r="A54" t="s">
        <v>243</v>
      </c>
      <c r="B54">
        <v>1189</v>
      </c>
      <c r="C54">
        <v>2199</v>
      </c>
      <c r="D54">
        <v>0.46</v>
      </c>
      <c r="E54">
        <v>1</v>
      </c>
      <c r="F54">
        <v>3</v>
      </c>
      <c r="G54" t="str">
        <f t="shared" si="3"/>
        <v>Average</v>
      </c>
      <c r="H54">
        <f t="shared" si="4"/>
        <v>1010</v>
      </c>
      <c r="I54" t="str">
        <f t="shared" si="5"/>
        <v>High</v>
      </c>
    </row>
    <row r="55" spans="1:9" x14ac:dyDescent="0.25">
      <c r="A55" t="s">
        <v>295</v>
      </c>
      <c r="B55">
        <v>3640</v>
      </c>
      <c r="C55">
        <v>4588</v>
      </c>
      <c r="D55">
        <v>0.21</v>
      </c>
      <c r="E55">
        <v>1</v>
      </c>
      <c r="F55">
        <v>5</v>
      </c>
      <c r="G55" t="str">
        <f t="shared" si="3"/>
        <v>Excellent</v>
      </c>
      <c r="H55">
        <f t="shared" si="4"/>
        <v>948</v>
      </c>
      <c r="I55" t="str">
        <f t="shared" si="5"/>
        <v>Medium</v>
      </c>
    </row>
    <row r="56" spans="1:9" x14ac:dyDescent="0.25">
      <c r="A56" t="s">
        <v>245</v>
      </c>
      <c r="B56">
        <v>979</v>
      </c>
      <c r="C56">
        <v>1920</v>
      </c>
      <c r="D56">
        <v>0.49</v>
      </c>
      <c r="E56">
        <v>1</v>
      </c>
      <c r="F56">
        <v>5</v>
      </c>
      <c r="G56" t="str">
        <f t="shared" si="3"/>
        <v>Excellent</v>
      </c>
      <c r="H56">
        <f t="shared" si="4"/>
        <v>941</v>
      </c>
      <c r="I56" t="str">
        <f t="shared" si="5"/>
        <v>High</v>
      </c>
    </row>
    <row r="57" spans="1:9" x14ac:dyDescent="0.25">
      <c r="A57" t="s">
        <v>318</v>
      </c>
      <c r="B57">
        <v>450</v>
      </c>
      <c r="C57">
        <v>900</v>
      </c>
      <c r="D57">
        <v>0.5</v>
      </c>
      <c r="E57">
        <v>1</v>
      </c>
      <c r="F57">
        <v>2</v>
      </c>
      <c r="G57" t="str">
        <f t="shared" si="3"/>
        <v>Poor</v>
      </c>
      <c r="H57">
        <f t="shared" si="4"/>
        <v>450</v>
      </c>
      <c r="I57" t="str">
        <f t="shared" si="5"/>
        <v>High</v>
      </c>
    </row>
    <row r="58" spans="1:9" x14ac:dyDescent="0.25">
      <c r="A58" t="s">
        <v>253</v>
      </c>
      <c r="B58">
        <v>330</v>
      </c>
      <c r="C58">
        <v>647</v>
      </c>
      <c r="D58">
        <v>0.49</v>
      </c>
      <c r="E58">
        <v>1</v>
      </c>
      <c r="F58">
        <v>4</v>
      </c>
      <c r="G58" t="str">
        <f t="shared" si="3"/>
        <v>Average</v>
      </c>
      <c r="H58">
        <f t="shared" si="4"/>
        <v>317</v>
      </c>
      <c r="I58" t="str">
        <f t="shared" si="5"/>
        <v>High</v>
      </c>
    </row>
    <row r="59" spans="1:9" x14ac:dyDescent="0.25">
      <c r="A59" t="s">
        <v>99</v>
      </c>
      <c r="B59">
        <v>2200</v>
      </c>
      <c r="C59">
        <v>4080</v>
      </c>
      <c r="D59">
        <v>0.46</v>
      </c>
      <c r="E59">
        <v>0</v>
      </c>
      <c r="F59">
        <v>3.8889999999999998</v>
      </c>
      <c r="G59" t="str">
        <f t="shared" si="3"/>
        <v>Average</v>
      </c>
      <c r="H59">
        <f t="shared" si="4"/>
        <v>1880</v>
      </c>
      <c r="I59" t="str">
        <f t="shared" si="5"/>
        <v>High</v>
      </c>
    </row>
    <row r="60" spans="1:9" x14ac:dyDescent="0.25">
      <c r="A60" t="s">
        <v>128</v>
      </c>
      <c r="B60">
        <v>2750</v>
      </c>
      <c r="C60">
        <v>4471</v>
      </c>
      <c r="D60">
        <v>0.38</v>
      </c>
      <c r="E60">
        <v>0</v>
      </c>
      <c r="F60">
        <v>3.8889999999999998</v>
      </c>
      <c r="G60" t="str">
        <f t="shared" si="3"/>
        <v>Average</v>
      </c>
      <c r="H60">
        <f t="shared" si="4"/>
        <v>1721</v>
      </c>
      <c r="I60" t="str">
        <f t="shared" si="5"/>
        <v>Medium</v>
      </c>
    </row>
    <row r="61" spans="1:9" x14ac:dyDescent="0.25">
      <c r="A61" t="s">
        <v>75</v>
      </c>
      <c r="B61">
        <v>1860</v>
      </c>
      <c r="C61">
        <v>3220</v>
      </c>
      <c r="D61">
        <v>0.42</v>
      </c>
      <c r="E61">
        <v>0</v>
      </c>
      <c r="F61">
        <v>3.8889999999999998</v>
      </c>
      <c r="G61" t="str">
        <f t="shared" si="3"/>
        <v>Average</v>
      </c>
      <c r="H61">
        <f t="shared" si="4"/>
        <v>1360</v>
      </c>
      <c r="I61" t="str">
        <f t="shared" si="5"/>
        <v>High</v>
      </c>
    </row>
    <row r="62" spans="1:9" x14ac:dyDescent="0.25">
      <c r="A62" t="s">
        <v>272</v>
      </c>
      <c r="B62">
        <v>1300</v>
      </c>
      <c r="C62">
        <v>2500</v>
      </c>
      <c r="D62">
        <v>0.48</v>
      </c>
      <c r="E62">
        <v>0</v>
      </c>
      <c r="F62">
        <v>3.8889999999999998</v>
      </c>
      <c r="G62" t="str">
        <f t="shared" si="3"/>
        <v>Average</v>
      </c>
      <c r="H62">
        <f t="shared" si="4"/>
        <v>1200</v>
      </c>
      <c r="I62" t="str">
        <f t="shared" si="5"/>
        <v>High</v>
      </c>
    </row>
    <row r="63" spans="1:9" x14ac:dyDescent="0.25">
      <c r="A63" t="s">
        <v>278</v>
      </c>
      <c r="B63">
        <v>1200</v>
      </c>
      <c r="C63">
        <v>2400</v>
      </c>
      <c r="D63">
        <v>0.5</v>
      </c>
      <c r="E63">
        <v>0</v>
      </c>
      <c r="F63">
        <v>3.8889999999999998</v>
      </c>
      <c r="G63" t="str">
        <f t="shared" si="3"/>
        <v>Average</v>
      </c>
      <c r="H63">
        <f t="shared" si="4"/>
        <v>1200</v>
      </c>
      <c r="I63" t="str">
        <f t="shared" si="5"/>
        <v>High</v>
      </c>
    </row>
    <row r="64" spans="1:9" x14ac:dyDescent="0.25">
      <c r="A64" t="s">
        <v>177</v>
      </c>
      <c r="B64">
        <v>2799</v>
      </c>
      <c r="C64">
        <v>3810</v>
      </c>
      <c r="D64">
        <v>0.27</v>
      </c>
      <c r="E64">
        <v>0</v>
      </c>
      <c r="F64">
        <v>3.8889999999999998</v>
      </c>
      <c r="G64" t="str">
        <f t="shared" si="3"/>
        <v>Average</v>
      </c>
      <c r="H64">
        <f t="shared" si="4"/>
        <v>1011</v>
      </c>
      <c r="I64" t="str">
        <f t="shared" si="5"/>
        <v>Medium</v>
      </c>
    </row>
    <row r="65" spans="1:9" x14ac:dyDescent="0.25">
      <c r="A65" t="s">
        <v>143</v>
      </c>
      <c r="B65">
        <v>999</v>
      </c>
      <c r="C65">
        <v>2000</v>
      </c>
      <c r="D65">
        <v>0.5</v>
      </c>
      <c r="E65">
        <v>0</v>
      </c>
      <c r="F65">
        <v>3.8889999999999998</v>
      </c>
      <c r="G65" t="str">
        <f t="shared" si="3"/>
        <v>Average</v>
      </c>
      <c r="H65">
        <f t="shared" si="4"/>
        <v>1001</v>
      </c>
      <c r="I65" t="str">
        <f t="shared" si="5"/>
        <v>High</v>
      </c>
    </row>
    <row r="66" spans="1:9" x14ac:dyDescent="0.25">
      <c r="A66" t="s">
        <v>298</v>
      </c>
      <c r="B66">
        <v>1420</v>
      </c>
      <c r="C66">
        <v>2420</v>
      </c>
      <c r="D66">
        <v>0.41</v>
      </c>
      <c r="E66">
        <v>0</v>
      </c>
      <c r="F66">
        <v>3.8889999999999998</v>
      </c>
      <c r="G66" t="str">
        <f t="shared" ref="G66:G97" si="6">IF(F66="Not Provided","N/A",IF(F66&lt;3,"Poor",IF(F66&lt;=4.4,"Average","Excellent")))</f>
        <v>Average</v>
      </c>
      <c r="H66">
        <f t="shared" ref="H66:H97" si="7">C66-B66</f>
        <v>1000</v>
      </c>
      <c r="I66" t="str">
        <f t="shared" ref="I66:I97" si="8">IF(D66&lt;20%,"Low",IF(D66&lt;=40%,"Medium","High"))</f>
        <v>High</v>
      </c>
    </row>
    <row r="67" spans="1:9" x14ac:dyDescent="0.25">
      <c r="A67" t="s">
        <v>269</v>
      </c>
      <c r="B67">
        <v>850</v>
      </c>
      <c r="C67">
        <v>1700</v>
      </c>
      <c r="D67">
        <v>0.5</v>
      </c>
      <c r="E67">
        <v>0</v>
      </c>
      <c r="F67">
        <v>3.8889999999999998</v>
      </c>
      <c r="G67" t="str">
        <f t="shared" si="6"/>
        <v>Average</v>
      </c>
      <c r="H67">
        <f t="shared" si="7"/>
        <v>850</v>
      </c>
      <c r="I67" t="str">
        <f t="shared" si="8"/>
        <v>High</v>
      </c>
    </row>
    <row r="68" spans="1:9" x14ac:dyDescent="0.25">
      <c r="A68" t="s">
        <v>248</v>
      </c>
      <c r="B68">
        <v>1460</v>
      </c>
      <c r="C68">
        <v>2290</v>
      </c>
      <c r="D68">
        <v>0.36</v>
      </c>
      <c r="E68">
        <v>0</v>
      </c>
      <c r="F68">
        <v>3.8889999999999998</v>
      </c>
      <c r="G68" t="str">
        <f t="shared" si="6"/>
        <v>Average</v>
      </c>
      <c r="H68">
        <f t="shared" si="7"/>
        <v>830</v>
      </c>
      <c r="I68" t="str">
        <f t="shared" si="8"/>
        <v>Medium</v>
      </c>
    </row>
    <row r="69" spans="1:9" x14ac:dyDescent="0.25">
      <c r="A69" t="s">
        <v>277</v>
      </c>
      <c r="B69">
        <v>899</v>
      </c>
      <c r="C69">
        <v>1699</v>
      </c>
      <c r="D69">
        <v>0.47</v>
      </c>
      <c r="E69">
        <v>0</v>
      </c>
      <c r="F69">
        <v>3.8889999999999998</v>
      </c>
      <c r="G69" t="str">
        <f t="shared" si="6"/>
        <v>Average</v>
      </c>
      <c r="H69">
        <f t="shared" si="7"/>
        <v>800</v>
      </c>
      <c r="I69" t="str">
        <f t="shared" si="8"/>
        <v>High</v>
      </c>
    </row>
    <row r="70" spans="1:9" x14ac:dyDescent="0.25">
      <c r="A70" t="s">
        <v>292</v>
      </c>
      <c r="B70">
        <v>1080</v>
      </c>
      <c r="C70">
        <v>1874</v>
      </c>
      <c r="D70">
        <v>0.42</v>
      </c>
      <c r="E70">
        <v>0</v>
      </c>
      <c r="F70">
        <v>3.8889999999999998</v>
      </c>
      <c r="G70" t="str">
        <f t="shared" si="6"/>
        <v>Average</v>
      </c>
      <c r="H70">
        <f t="shared" si="7"/>
        <v>794</v>
      </c>
      <c r="I70" t="str">
        <f t="shared" si="8"/>
        <v>High</v>
      </c>
    </row>
    <row r="71" spans="1:9" x14ac:dyDescent="0.25">
      <c r="A71" t="s">
        <v>175</v>
      </c>
      <c r="B71">
        <v>799</v>
      </c>
      <c r="C71">
        <v>1567</v>
      </c>
      <c r="D71">
        <v>0.49</v>
      </c>
      <c r="E71">
        <v>0</v>
      </c>
      <c r="F71">
        <v>3.8889999999999998</v>
      </c>
      <c r="G71" t="str">
        <f t="shared" si="6"/>
        <v>Average</v>
      </c>
      <c r="H71">
        <f t="shared" si="7"/>
        <v>768</v>
      </c>
      <c r="I71" t="str">
        <f t="shared" si="8"/>
        <v>High</v>
      </c>
    </row>
    <row r="72" spans="1:9" x14ac:dyDescent="0.25">
      <c r="A72" t="s">
        <v>151</v>
      </c>
      <c r="B72">
        <v>1200</v>
      </c>
      <c r="C72">
        <v>1950</v>
      </c>
      <c r="D72">
        <v>0.38</v>
      </c>
      <c r="E72">
        <v>0</v>
      </c>
      <c r="F72">
        <v>3.8889999999999998</v>
      </c>
      <c r="G72" t="str">
        <f t="shared" si="6"/>
        <v>Average</v>
      </c>
      <c r="H72">
        <f t="shared" si="7"/>
        <v>750</v>
      </c>
      <c r="I72" t="str">
        <f t="shared" si="8"/>
        <v>Medium</v>
      </c>
    </row>
    <row r="73" spans="1:9" x14ac:dyDescent="0.25">
      <c r="A73" t="s">
        <v>232</v>
      </c>
      <c r="B73">
        <v>790</v>
      </c>
      <c r="C73">
        <v>1485</v>
      </c>
      <c r="D73">
        <v>0.47</v>
      </c>
      <c r="E73">
        <v>0</v>
      </c>
      <c r="F73">
        <v>3.8889999999999998</v>
      </c>
      <c r="G73" t="str">
        <f t="shared" si="6"/>
        <v>Average</v>
      </c>
      <c r="H73">
        <f t="shared" si="7"/>
        <v>695</v>
      </c>
      <c r="I73" t="str">
        <f t="shared" si="8"/>
        <v>High</v>
      </c>
    </row>
    <row r="74" spans="1:9" x14ac:dyDescent="0.25">
      <c r="A74" t="s">
        <v>148</v>
      </c>
      <c r="B74">
        <v>671</v>
      </c>
      <c r="C74">
        <v>1316</v>
      </c>
      <c r="D74">
        <v>0.49</v>
      </c>
      <c r="E74">
        <v>0</v>
      </c>
      <c r="F74">
        <v>3.8889999999999998</v>
      </c>
      <c r="G74" t="str">
        <f t="shared" si="6"/>
        <v>Average</v>
      </c>
      <c r="H74">
        <f t="shared" si="7"/>
        <v>645</v>
      </c>
      <c r="I74" t="str">
        <f t="shared" si="8"/>
        <v>High</v>
      </c>
    </row>
    <row r="75" spans="1:9" x14ac:dyDescent="0.25">
      <c r="A75" t="s">
        <v>173</v>
      </c>
      <c r="B75">
        <v>699</v>
      </c>
      <c r="C75">
        <v>1343</v>
      </c>
      <c r="D75">
        <v>0.48</v>
      </c>
      <c r="E75">
        <v>0</v>
      </c>
      <c r="F75">
        <v>3.8889999999999998</v>
      </c>
      <c r="G75" t="str">
        <f t="shared" si="6"/>
        <v>Average</v>
      </c>
      <c r="H75">
        <f t="shared" si="7"/>
        <v>644</v>
      </c>
      <c r="I75" t="str">
        <f t="shared" si="8"/>
        <v>High</v>
      </c>
    </row>
    <row r="76" spans="1:9" x14ac:dyDescent="0.25">
      <c r="A76" t="s">
        <v>310</v>
      </c>
      <c r="B76">
        <v>1190</v>
      </c>
      <c r="C76">
        <v>1810</v>
      </c>
      <c r="D76">
        <v>0.34</v>
      </c>
      <c r="E76">
        <v>0</v>
      </c>
      <c r="F76">
        <v>3.8889999999999998</v>
      </c>
      <c r="G76" t="str">
        <f t="shared" si="6"/>
        <v>Average</v>
      </c>
      <c r="H76">
        <f t="shared" si="7"/>
        <v>620</v>
      </c>
      <c r="I76" t="str">
        <f t="shared" si="8"/>
        <v>Medium</v>
      </c>
    </row>
    <row r="77" spans="1:9" x14ac:dyDescent="0.25">
      <c r="A77" t="s">
        <v>145</v>
      </c>
      <c r="B77">
        <v>1190</v>
      </c>
      <c r="C77">
        <v>1785</v>
      </c>
      <c r="D77">
        <v>0.33</v>
      </c>
      <c r="E77">
        <v>0</v>
      </c>
      <c r="F77">
        <v>3.8889999999999998</v>
      </c>
      <c r="G77" t="str">
        <f t="shared" si="6"/>
        <v>Average</v>
      </c>
      <c r="H77">
        <f t="shared" si="7"/>
        <v>595</v>
      </c>
      <c r="I77" t="str">
        <f t="shared" si="8"/>
        <v>Medium</v>
      </c>
    </row>
    <row r="78" spans="1:9" x14ac:dyDescent="0.25">
      <c r="A78" t="s">
        <v>307</v>
      </c>
      <c r="B78">
        <v>1150</v>
      </c>
      <c r="C78">
        <v>1737</v>
      </c>
      <c r="D78">
        <v>0.34</v>
      </c>
      <c r="E78">
        <v>0</v>
      </c>
      <c r="F78">
        <v>3.8889999999999998</v>
      </c>
      <c r="G78" t="str">
        <f t="shared" si="6"/>
        <v>Average</v>
      </c>
      <c r="H78">
        <f t="shared" si="7"/>
        <v>587</v>
      </c>
      <c r="I78" t="str">
        <f t="shared" si="8"/>
        <v>Medium</v>
      </c>
    </row>
    <row r="79" spans="1:9" x14ac:dyDescent="0.25">
      <c r="A79" t="s">
        <v>168</v>
      </c>
      <c r="B79">
        <v>799</v>
      </c>
      <c r="C79">
        <v>1343</v>
      </c>
      <c r="D79">
        <v>0.41</v>
      </c>
      <c r="E79">
        <v>0</v>
      </c>
      <c r="F79">
        <v>3.8889999999999998</v>
      </c>
      <c r="G79" t="str">
        <f t="shared" si="6"/>
        <v>Average</v>
      </c>
      <c r="H79">
        <f t="shared" si="7"/>
        <v>544</v>
      </c>
      <c r="I79" t="str">
        <f t="shared" si="8"/>
        <v>High</v>
      </c>
    </row>
    <row r="80" spans="1:9" x14ac:dyDescent="0.25">
      <c r="A80" t="s">
        <v>235</v>
      </c>
      <c r="B80">
        <v>690</v>
      </c>
      <c r="C80">
        <v>1200</v>
      </c>
      <c r="D80">
        <v>0.43</v>
      </c>
      <c r="E80">
        <v>0</v>
      </c>
      <c r="F80">
        <v>3.8889999999999998</v>
      </c>
      <c r="G80" t="str">
        <f t="shared" si="6"/>
        <v>Average</v>
      </c>
      <c r="H80">
        <f t="shared" si="7"/>
        <v>510</v>
      </c>
      <c r="I80" t="str">
        <f t="shared" si="8"/>
        <v>High</v>
      </c>
    </row>
    <row r="81" spans="1:9" x14ac:dyDescent="0.25">
      <c r="A81" t="s">
        <v>289</v>
      </c>
      <c r="B81">
        <v>525</v>
      </c>
      <c r="C81">
        <v>1029</v>
      </c>
      <c r="D81">
        <v>0.49</v>
      </c>
      <c r="E81">
        <v>0</v>
      </c>
      <c r="F81">
        <v>3.8889999999999998</v>
      </c>
      <c r="G81" t="str">
        <f t="shared" si="6"/>
        <v>Average</v>
      </c>
      <c r="H81">
        <f t="shared" si="7"/>
        <v>504</v>
      </c>
      <c r="I81" t="str">
        <f t="shared" si="8"/>
        <v>High</v>
      </c>
    </row>
    <row r="82" spans="1:9" x14ac:dyDescent="0.25">
      <c r="A82" t="s">
        <v>266</v>
      </c>
      <c r="B82">
        <v>630</v>
      </c>
      <c r="C82">
        <v>1100</v>
      </c>
      <c r="D82">
        <v>0.43</v>
      </c>
      <c r="E82">
        <v>0</v>
      </c>
      <c r="F82">
        <v>3.8889999999999998</v>
      </c>
      <c r="G82" t="str">
        <f t="shared" si="6"/>
        <v>Average</v>
      </c>
      <c r="H82">
        <f t="shared" si="7"/>
        <v>470</v>
      </c>
      <c r="I82" t="str">
        <f t="shared" si="8"/>
        <v>High</v>
      </c>
    </row>
    <row r="83" spans="1:9" x14ac:dyDescent="0.25">
      <c r="A83" t="s">
        <v>131</v>
      </c>
      <c r="B83">
        <v>475</v>
      </c>
      <c r="C83">
        <v>931</v>
      </c>
      <c r="D83">
        <v>0.49</v>
      </c>
      <c r="E83">
        <v>0</v>
      </c>
      <c r="F83">
        <v>3.8889999999999998</v>
      </c>
      <c r="G83" t="str">
        <f t="shared" si="6"/>
        <v>Average</v>
      </c>
      <c r="H83">
        <f t="shared" si="7"/>
        <v>456</v>
      </c>
      <c r="I83" t="str">
        <f t="shared" si="8"/>
        <v>High</v>
      </c>
    </row>
    <row r="84" spans="1:9" x14ac:dyDescent="0.25">
      <c r="A84" t="s">
        <v>137</v>
      </c>
      <c r="B84">
        <v>610</v>
      </c>
      <c r="C84">
        <v>1060</v>
      </c>
      <c r="D84">
        <v>0.42</v>
      </c>
      <c r="E84">
        <v>0</v>
      </c>
      <c r="F84">
        <v>3.8889999999999998</v>
      </c>
      <c r="G84" t="str">
        <f t="shared" si="6"/>
        <v>Average</v>
      </c>
      <c r="H84">
        <f t="shared" si="7"/>
        <v>450</v>
      </c>
      <c r="I84" t="str">
        <f t="shared" si="8"/>
        <v>High</v>
      </c>
    </row>
    <row r="85" spans="1:9" x14ac:dyDescent="0.25">
      <c r="A85" t="s">
        <v>170</v>
      </c>
      <c r="B85">
        <v>499</v>
      </c>
      <c r="C85">
        <v>900</v>
      </c>
      <c r="D85">
        <v>0.45</v>
      </c>
      <c r="E85">
        <v>0</v>
      </c>
      <c r="F85">
        <v>3.8889999999999998</v>
      </c>
      <c r="G85" t="str">
        <f t="shared" si="6"/>
        <v>Average</v>
      </c>
      <c r="H85">
        <f t="shared" si="7"/>
        <v>401</v>
      </c>
      <c r="I85" t="str">
        <f t="shared" si="8"/>
        <v>High</v>
      </c>
    </row>
    <row r="86" spans="1:9" x14ac:dyDescent="0.25">
      <c r="A86" t="s">
        <v>316</v>
      </c>
      <c r="B86">
        <v>199</v>
      </c>
      <c r="C86">
        <v>553</v>
      </c>
      <c r="D86">
        <v>0.64</v>
      </c>
      <c r="E86">
        <v>0</v>
      </c>
      <c r="F86">
        <v>3.8889999999999998</v>
      </c>
      <c r="G86" t="str">
        <f t="shared" si="6"/>
        <v>Average</v>
      </c>
      <c r="H86">
        <f t="shared" si="7"/>
        <v>354</v>
      </c>
      <c r="I86" t="str">
        <f t="shared" si="8"/>
        <v>High</v>
      </c>
    </row>
    <row r="87" spans="1:9" x14ac:dyDescent="0.25">
      <c r="A87" t="s">
        <v>154</v>
      </c>
      <c r="B87">
        <v>199</v>
      </c>
      <c r="C87">
        <v>504</v>
      </c>
      <c r="D87">
        <v>0.61</v>
      </c>
      <c r="E87">
        <v>0</v>
      </c>
      <c r="F87">
        <v>3.8889999999999998</v>
      </c>
      <c r="G87" t="str">
        <f t="shared" si="6"/>
        <v>Average</v>
      </c>
      <c r="H87">
        <f t="shared" si="7"/>
        <v>305</v>
      </c>
      <c r="I87" t="str">
        <f t="shared" si="8"/>
        <v>High</v>
      </c>
    </row>
    <row r="88" spans="1:9" x14ac:dyDescent="0.25">
      <c r="A88" t="s">
        <v>157</v>
      </c>
      <c r="B88">
        <v>299</v>
      </c>
      <c r="C88">
        <v>600</v>
      </c>
      <c r="D88">
        <v>0.5</v>
      </c>
      <c r="E88">
        <v>0</v>
      </c>
      <c r="F88">
        <v>3.8889999999999998</v>
      </c>
      <c r="G88" t="str">
        <f t="shared" si="6"/>
        <v>Average</v>
      </c>
      <c r="H88">
        <f t="shared" si="7"/>
        <v>301</v>
      </c>
      <c r="I88" t="str">
        <f t="shared" si="8"/>
        <v>High</v>
      </c>
    </row>
    <row r="89" spans="1:9" x14ac:dyDescent="0.25">
      <c r="A89" t="s">
        <v>258</v>
      </c>
      <c r="B89">
        <v>274</v>
      </c>
      <c r="C89">
        <v>537</v>
      </c>
      <c r="D89">
        <v>0.49</v>
      </c>
      <c r="E89">
        <v>0</v>
      </c>
      <c r="F89">
        <v>3.8889999999999998</v>
      </c>
      <c r="G89" t="str">
        <f t="shared" si="6"/>
        <v>Average</v>
      </c>
      <c r="H89">
        <f t="shared" si="7"/>
        <v>263</v>
      </c>
      <c r="I89" t="str">
        <f t="shared" si="8"/>
        <v>High</v>
      </c>
    </row>
    <row r="90" spans="1:9" x14ac:dyDescent="0.25">
      <c r="A90" t="s">
        <v>134</v>
      </c>
      <c r="B90">
        <v>238</v>
      </c>
      <c r="C90">
        <v>476</v>
      </c>
      <c r="D90">
        <v>0.5</v>
      </c>
      <c r="E90">
        <v>0</v>
      </c>
      <c r="F90">
        <v>3.8889999999999998</v>
      </c>
      <c r="G90" t="str">
        <f t="shared" si="6"/>
        <v>Average</v>
      </c>
      <c r="H90">
        <f t="shared" si="7"/>
        <v>238</v>
      </c>
      <c r="I90" t="str">
        <f t="shared" si="8"/>
        <v>High</v>
      </c>
    </row>
    <row r="91" spans="1:9" x14ac:dyDescent="0.25">
      <c r="A91" t="s">
        <v>284</v>
      </c>
      <c r="B91">
        <v>248</v>
      </c>
      <c r="C91">
        <v>486</v>
      </c>
      <c r="D91">
        <v>0.49</v>
      </c>
      <c r="E91">
        <v>0</v>
      </c>
      <c r="F91">
        <v>3.8889999999999998</v>
      </c>
      <c r="G91" t="str">
        <f t="shared" si="6"/>
        <v>Average</v>
      </c>
      <c r="H91">
        <f t="shared" si="7"/>
        <v>238</v>
      </c>
      <c r="I91" t="str">
        <f t="shared" si="8"/>
        <v>High</v>
      </c>
    </row>
    <row r="92" spans="1:9" x14ac:dyDescent="0.25">
      <c r="A92" t="s">
        <v>256</v>
      </c>
      <c r="B92">
        <v>1466</v>
      </c>
      <c r="C92">
        <v>1699</v>
      </c>
      <c r="D92">
        <v>0.14000000000000001</v>
      </c>
      <c r="E92">
        <v>0</v>
      </c>
      <c r="F92">
        <v>3.8889999999999998</v>
      </c>
      <c r="G92" t="str">
        <f t="shared" si="6"/>
        <v>Average</v>
      </c>
      <c r="H92">
        <f t="shared" si="7"/>
        <v>233</v>
      </c>
      <c r="I92" t="str">
        <f t="shared" si="8"/>
        <v>Low</v>
      </c>
    </row>
    <row r="93" spans="1:9" x14ac:dyDescent="0.25">
      <c r="A93" t="s">
        <v>264</v>
      </c>
      <c r="B93">
        <v>1468</v>
      </c>
      <c r="C93">
        <v>1699</v>
      </c>
      <c r="D93">
        <v>0.14000000000000001</v>
      </c>
      <c r="E93">
        <v>0</v>
      </c>
      <c r="F93">
        <v>3.8889999999999998</v>
      </c>
      <c r="G93" t="str">
        <f t="shared" si="6"/>
        <v>Average</v>
      </c>
      <c r="H93">
        <f t="shared" si="7"/>
        <v>231</v>
      </c>
      <c r="I93" t="str">
        <f t="shared" si="8"/>
        <v>Low</v>
      </c>
    </row>
    <row r="94" spans="1:9" x14ac:dyDescent="0.25">
      <c r="A94" t="s">
        <v>240</v>
      </c>
      <c r="B94">
        <v>230</v>
      </c>
      <c r="C94">
        <v>450</v>
      </c>
      <c r="D94">
        <v>0.49</v>
      </c>
      <c r="E94">
        <v>0</v>
      </c>
      <c r="F94">
        <v>3.8889999999999998</v>
      </c>
      <c r="G94" t="str">
        <f t="shared" si="6"/>
        <v>Average</v>
      </c>
      <c r="H94">
        <f t="shared" si="7"/>
        <v>220</v>
      </c>
      <c r="I94" t="str">
        <f t="shared" si="8"/>
        <v>High</v>
      </c>
    </row>
    <row r="95" spans="1:9" x14ac:dyDescent="0.25">
      <c r="A95" t="s">
        <v>287</v>
      </c>
      <c r="B95">
        <v>3546</v>
      </c>
      <c r="C95">
        <v>3699</v>
      </c>
      <c r="D95">
        <v>0.04</v>
      </c>
      <c r="E95">
        <v>0</v>
      </c>
      <c r="F95">
        <v>3.8889999999999998</v>
      </c>
      <c r="G95" t="str">
        <f t="shared" si="6"/>
        <v>Average</v>
      </c>
      <c r="H95">
        <f t="shared" si="7"/>
        <v>153</v>
      </c>
      <c r="I95" t="str">
        <f t="shared" si="8"/>
        <v>Low</v>
      </c>
    </row>
    <row r="96" spans="1:9" x14ac:dyDescent="0.25">
      <c r="A96" t="s">
        <v>320</v>
      </c>
      <c r="B96">
        <v>169</v>
      </c>
      <c r="C96">
        <v>320</v>
      </c>
      <c r="D96">
        <v>0.47</v>
      </c>
      <c r="E96">
        <v>0</v>
      </c>
      <c r="F96">
        <v>3.8889999999999998</v>
      </c>
      <c r="G96" t="str">
        <f t="shared" si="6"/>
        <v>Average</v>
      </c>
      <c r="H96">
        <f t="shared" si="7"/>
        <v>151</v>
      </c>
      <c r="I96" t="str">
        <f t="shared" si="8"/>
        <v>High</v>
      </c>
    </row>
    <row r="97" spans="1:11" x14ac:dyDescent="0.25">
      <c r="A97" t="s">
        <v>280</v>
      </c>
      <c r="B97">
        <v>1526</v>
      </c>
      <c r="C97">
        <v>1660</v>
      </c>
      <c r="D97">
        <v>0.08</v>
      </c>
      <c r="E97">
        <v>0</v>
      </c>
      <c r="F97">
        <v>3.8889999999999998</v>
      </c>
      <c r="G97" t="str">
        <f t="shared" si="6"/>
        <v>Average</v>
      </c>
      <c r="H97">
        <f t="shared" si="7"/>
        <v>134</v>
      </c>
      <c r="I97" t="str">
        <f t="shared" si="8"/>
        <v>Low</v>
      </c>
    </row>
    <row r="98" spans="1:11" x14ac:dyDescent="0.25">
      <c r="A98" t="s">
        <v>261</v>
      </c>
      <c r="B98">
        <v>799</v>
      </c>
      <c r="C98">
        <v>900</v>
      </c>
      <c r="D98">
        <v>0.11</v>
      </c>
      <c r="E98">
        <v>0</v>
      </c>
      <c r="F98">
        <v>3.8889999999999998</v>
      </c>
      <c r="G98" t="str">
        <f t="shared" ref="G98:G110" si="9">IF(F98="Not Provided","N/A",IF(F98&lt;3,"Poor",IF(F98&lt;=4.4,"Average","Excellent")))</f>
        <v>Average</v>
      </c>
      <c r="H98">
        <f t="shared" ref="H98:H110" si="10">C98-B98</f>
        <v>101</v>
      </c>
      <c r="I98" t="str">
        <f t="shared" ref="I98:I110" si="11">IF(D98&lt;20%,"Low",IF(D98&lt;=40%,"Medium","High"))</f>
        <v>Low</v>
      </c>
    </row>
    <row r="99" spans="1:11" x14ac:dyDescent="0.25">
      <c r="A99" t="s">
        <v>274</v>
      </c>
      <c r="B99">
        <v>105</v>
      </c>
      <c r="C99">
        <v>200</v>
      </c>
      <c r="D99">
        <v>0.48</v>
      </c>
      <c r="E99">
        <v>0</v>
      </c>
      <c r="F99">
        <v>3.8889999999999998</v>
      </c>
      <c r="G99" t="str">
        <f t="shared" si="9"/>
        <v>Average</v>
      </c>
      <c r="H99">
        <f t="shared" si="10"/>
        <v>95</v>
      </c>
      <c r="I99" t="str">
        <f t="shared" si="11"/>
        <v>High</v>
      </c>
    </row>
    <row r="100" spans="1:11" x14ac:dyDescent="0.25">
      <c r="A100" t="s">
        <v>163</v>
      </c>
      <c r="B100">
        <v>299</v>
      </c>
      <c r="C100">
        <v>384</v>
      </c>
      <c r="D100">
        <v>0.22</v>
      </c>
      <c r="E100">
        <v>0</v>
      </c>
      <c r="F100">
        <v>3.8889999999999998</v>
      </c>
      <c r="G100" t="str">
        <f t="shared" si="9"/>
        <v>Average</v>
      </c>
      <c r="H100">
        <f t="shared" si="10"/>
        <v>85</v>
      </c>
      <c r="I100" t="str">
        <f t="shared" si="11"/>
        <v>Medium</v>
      </c>
    </row>
    <row r="101" spans="1:11" x14ac:dyDescent="0.25">
      <c r="A101" t="s">
        <v>237</v>
      </c>
      <c r="B101">
        <v>1732</v>
      </c>
      <c r="C101">
        <v>1799</v>
      </c>
      <c r="D101">
        <v>0.04</v>
      </c>
      <c r="E101">
        <v>0</v>
      </c>
      <c r="F101">
        <v>3.8889999999999998</v>
      </c>
      <c r="G101" t="str">
        <f t="shared" si="9"/>
        <v>Average</v>
      </c>
      <c r="H101">
        <f t="shared" si="10"/>
        <v>67</v>
      </c>
      <c r="I101" t="str">
        <f t="shared" si="11"/>
        <v>Low</v>
      </c>
    </row>
    <row r="102" spans="1:11" x14ac:dyDescent="0.25">
      <c r="A102" t="s">
        <v>304</v>
      </c>
      <c r="B102">
        <v>198</v>
      </c>
      <c r="C102">
        <v>260</v>
      </c>
      <c r="D102">
        <v>0.24</v>
      </c>
      <c r="E102">
        <v>0</v>
      </c>
      <c r="F102">
        <v>3.8889999999999998</v>
      </c>
      <c r="G102" t="str">
        <f t="shared" si="9"/>
        <v>Average</v>
      </c>
      <c r="H102">
        <f t="shared" si="10"/>
        <v>62</v>
      </c>
      <c r="I102" t="str">
        <f t="shared" si="11"/>
        <v>Medium</v>
      </c>
    </row>
    <row r="103" spans="1:11" x14ac:dyDescent="0.25">
      <c r="A103" t="s">
        <v>312</v>
      </c>
      <c r="B103">
        <v>1658</v>
      </c>
      <c r="C103">
        <v>1699</v>
      </c>
      <c r="D103">
        <v>0.02</v>
      </c>
      <c r="E103">
        <v>0</v>
      </c>
      <c r="F103">
        <v>3.8889999999999998</v>
      </c>
      <c r="G103" t="str">
        <f t="shared" si="9"/>
        <v>Average</v>
      </c>
      <c r="H103">
        <f t="shared" si="10"/>
        <v>41</v>
      </c>
      <c r="I103" t="str">
        <f t="shared" si="11"/>
        <v>Low</v>
      </c>
    </row>
    <row r="104" spans="1:11" x14ac:dyDescent="0.25">
      <c r="A104" t="s">
        <v>165</v>
      </c>
      <c r="B104">
        <v>1459</v>
      </c>
      <c r="C104">
        <v>1499</v>
      </c>
      <c r="D104">
        <v>0.03</v>
      </c>
      <c r="E104">
        <v>0</v>
      </c>
      <c r="F104">
        <v>3.8889999999999998</v>
      </c>
      <c r="G104" t="str">
        <f t="shared" si="9"/>
        <v>Average</v>
      </c>
      <c r="H104">
        <f t="shared" si="10"/>
        <v>40</v>
      </c>
      <c r="I104" t="str">
        <f t="shared" si="11"/>
        <v>Low</v>
      </c>
    </row>
    <row r="105" spans="1:11" x14ac:dyDescent="0.25">
      <c r="A105" t="s">
        <v>160</v>
      </c>
      <c r="B105">
        <v>1660</v>
      </c>
      <c r="C105">
        <v>1699</v>
      </c>
      <c r="D105">
        <v>0.02</v>
      </c>
      <c r="E105">
        <v>0</v>
      </c>
      <c r="F105">
        <v>3.8889999999999998</v>
      </c>
      <c r="G105" t="str">
        <f t="shared" si="9"/>
        <v>Average</v>
      </c>
      <c r="H105">
        <f t="shared" si="10"/>
        <v>39</v>
      </c>
      <c r="I105" t="str">
        <f t="shared" si="11"/>
        <v>Low</v>
      </c>
    </row>
    <row r="106" spans="1:11" x14ac:dyDescent="0.25">
      <c r="A106" t="s">
        <v>140</v>
      </c>
      <c r="B106">
        <v>2132</v>
      </c>
      <c r="C106">
        <v>2169</v>
      </c>
      <c r="D106">
        <v>0.02</v>
      </c>
      <c r="E106">
        <v>0</v>
      </c>
      <c r="F106">
        <v>3.8889999999999998</v>
      </c>
      <c r="G106" t="str">
        <f t="shared" si="9"/>
        <v>Average</v>
      </c>
      <c r="H106">
        <f t="shared" si="10"/>
        <v>37</v>
      </c>
      <c r="I106" t="str">
        <f t="shared" si="11"/>
        <v>Low</v>
      </c>
    </row>
    <row r="107" spans="1:11" x14ac:dyDescent="0.25">
      <c r="A107" t="s">
        <v>282</v>
      </c>
      <c r="B107">
        <v>1462</v>
      </c>
      <c r="C107">
        <v>1499</v>
      </c>
      <c r="D107">
        <v>0.02</v>
      </c>
      <c r="E107">
        <v>0</v>
      </c>
      <c r="F107">
        <v>3.8889999999999998</v>
      </c>
      <c r="G107" t="str">
        <f t="shared" si="9"/>
        <v>Average</v>
      </c>
      <c r="H107">
        <f t="shared" si="10"/>
        <v>37</v>
      </c>
      <c r="I107" t="str">
        <f t="shared" si="11"/>
        <v>Low</v>
      </c>
    </row>
    <row r="108" spans="1:11" x14ac:dyDescent="0.25">
      <c r="A108" t="s">
        <v>251</v>
      </c>
      <c r="B108">
        <v>1666</v>
      </c>
      <c r="C108">
        <v>1699</v>
      </c>
      <c r="D108">
        <v>0.02</v>
      </c>
      <c r="E108">
        <v>0</v>
      </c>
      <c r="F108">
        <v>3.8889999999999998</v>
      </c>
      <c r="G108" t="str">
        <f t="shared" si="9"/>
        <v>Average</v>
      </c>
      <c r="H108">
        <f t="shared" si="10"/>
        <v>33</v>
      </c>
      <c r="I108" t="str">
        <f t="shared" si="11"/>
        <v>Low</v>
      </c>
    </row>
    <row r="109" spans="1:11" x14ac:dyDescent="0.25">
      <c r="A109" t="s">
        <v>314</v>
      </c>
      <c r="B109">
        <v>1768</v>
      </c>
      <c r="C109">
        <v>1799</v>
      </c>
      <c r="D109">
        <v>0.02</v>
      </c>
      <c r="E109">
        <v>0</v>
      </c>
      <c r="F109">
        <v>3.8889999999999998</v>
      </c>
      <c r="G109" t="str">
        <f t="shared" si="9"/>
        <v>Average</v>
      </c>
      <c r="H109">
        <f t="shared" si="10"/>
        <v>31</v>
      </c>
      <c r="I109" t="str">
        <f t="shared" si="11"/>
        <v>Low</v>
      </c>
    </row>
    <row r="110" spans="1:11" x14ac:dyDescent="0.25">
      <c r="A110" t="s">
        <v>301</v>
      </c>
      <c r="B110">
        <v>1875</v>
      </c>
      <c r="C110">
        <v>1899</v>
      </c>
      <c r="D110">
        <v>0.01</v>
      </c>
      <c r="E110">
        <v>0</v>
      </c>
      <c r="F110">
        <v>3.8889999999999998</v>
      </c>
      <c r="G110" t="str">
        <f t="shared" si="9"/>
        <v>Average</v>
      </c>
      <c r="H110">
        <f t="shared" si="10"/>
        <v>24</v>
      </c>
      <c r="I110" t="str">
        <f t="shared" si="11"/>
        <v>Low</v>
      </c>
    </row>
    <row r="111" spans="1:11" x14ac:dyDescent="0.25">
      <c r="A111" s="19"/>
      <c r="B111" s="20"/>
      <c r="C111" s="20"/>
      <c r="D111" s="21"/>
      <c r="E111" s="22"/>
      <c r="F111" s="23"/>
      <c r="G111" s="23"/>
      <c r="H111" s="20"/>
      <c r="I111" s="23"/>
      <c r="J111" s="23"/>
      <c r="K111" s="24"/>
    </row>
    <row r="112" spans="1:11" x14ac:dyDescent="0.25">
      <c r="H112" s="3"/>
    </row>
    <row r="113" spans="1:8" x14ac:dyDescent="0.25">
      <c r="H113" s="3"/>
    </row>
    <row r="114" spans="1:8" x14ac:dyDescent="0.25">
      <c r="H114" s="3"/>
    </row>
    <row r="115" spans="1:8" x14ac:dyDescent="0.25">
      <c r="H115" s="3"/>
    </row>
    <row r="116" spans="1:8" x14ac:dyDescent="0.25">
      <c r="A116" t="s">
        <v>327</v>
      </c>
      <c r="B116" s="3">
        <f>MAX(B2:B109)</f>
        <v>3750</v>
      </c>
    </row>
    <row r="117" spans="1:8" x14ac:dyDescent="0.25">
      <c r="A117" t="s">
        <v>328</v>
      </c>
      <c r="B117" s="3">
        <f>MIN(B2:B109)</f>
        <v>38</v>
      </c>
    </row>
  </sheetData>
  <sortState ref="A2:I115">
    <sortCondition descending="1" ref="E1"/>
  </sortState>
  <pageMargins left="0.7" right="0.7" top="0.75" bottom="0.75" header="0.3" footer="0.3"/>
  <pageSetup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tabSelected="1" workbookViewId="0">
      <selection activeCell="B21" sqref="B21"/>
    </sheetView>
  </sheetViews>
  <sheetFormatPr defaultRowHeight="15" x14ac:dyDescent="0.25"/>
  <cols>
    <col min="1" max="1" width="13.140625" bestFit="1" customWidth="1"/>
    <col min="2" max="2" width="14.28515625" bestFit="1" customWidth="1"/>
  </cols>
  <sheetData>
    <row r="3" spans="1:2" x14ac:dyDescent="0.25">
      <c r="A3" s="7" t="s">
        <v>329</v>
      </c>
      <c r="B3" t="s">
        <v>353</v>
      </c>
    </row>
    <row r="4" spans="1:2" x14ac:dyDescent="0.25">
      <c r="A4" s="8">
        <v>2</v>
      </c>
      <c r="B4" s="9">
        <v>1</v>
      </c>
    </row>
    <row r="5" spans="1:2" x14ac:dyDescent="0.25">
      <c r="A5" s="8">
        <v>2.1</v>
      </c>
      <c r="B5" s="9">
        <v>20</v>
      </c>
    </row>
    <row r="6" spans="1:2" x14ac:dyDescent="0.25">
      <c r="A6" s="8">
        <v>2.2000000000000002</v>
      </c>
      <c r="B6" s="9">
        <v>12</v>
      </c>
    </row>
    <row r="7" spans="1:2" x14ac:dyDescent="0.25">
      <c r="A7" s="8">
        <v>2.2999999999999998</v>
      </c>
      <c r="B7" s="9">
        <v>13</v>
      </c>
    </row>
    <row r="8" spans="1:2" x14ac:dyDescent="0.25">
      <c r="A8" s="8">
        <v>2.5</v>
      </c>
      <c r="B8" s="9">
        <v>6</v>
      </c>
    </row>
    <row r="9" spans="1:2" x14ac:dyDescent="0.25">
      <c r="A9" s="8">
        <v>2.6</v>
      </c>
      <c r="B9" s="9">
        <v>17</v>
      </c>
    </row>
    <row r="10" spans="1:2" x14ac:dyDescent="0.25">
      <c r="A10" s="8">
        <v>2.7</v>
      </c>
      <c r="B10" s="9">
        <v>15</v>
      </c>
    </row>
    <row r="11" spans="1:2" x14ac:dyDescent="0.25">
      <c r="A11" s="8">
        <v>2.8</v>
      </c>
      <c r="B11" s="9">
        <v>69</v>
      </c>
    </row>
    <row r="12" spans="1:2" x14ac:dyDescent="0.25">
      <c r="A12" s="8">
        <v>2.9</v>
      </c>
      <c r="B12" s="9">
        <v>16</v>
      </c>
    </row>
    <row r="13" spans="1:2" x14ac:dyDescent="0.25">
      <c r="A13" s="8">
        <v>3</v>
      </c>
      <c r="B13" s="9">
        <v>26</v>
      </c>
    </row>
    <row r="14" spans="1:2" x14ac:dyDescent="0.25">
      <c r="A14" s="8">
        <v>3.3</v>
      </c>
      <c r="B14" s="9">
        <v>13</v>
      </c>
    </row>
    <row r="15" spans="1:2" x14ac:dyDescent="0.25">
      <c r="A15" s="8">
        <v>3.8</v>
      </c>
      <c r="B15" s="9">
        <v>30</v>
      </c>
    </row>
    <row r="16" spans="1:2" x14ac:dyDescent="0.25">
      <c r="A16" s="8">
        <v>4</v>
      </c>
      <c r="B16" s="9">
        <v>24</v>
      </c>
    </row>
    <row r="17" spans="1:2" x14ac:dyDescent="0.25">
      <c r="A17" s="8">
        <v>4.0999999999999996</v>
      </c>
      <c r="B17" s="9">
        <v>46</v>
      </c>
    </row>
    <row r="18" spans="1:2" x14ac:dyDescent="0.25">
      <c r="A18" s="8">
        <v>4.2</v>
      </c>
      <c r="B18" s="9">
        <v>9</v>
      </c>
    </row>
    <row r="19" spans="1:2" x14ac:dyDescent="0.25">
      <c r="A19" s="8">
        <v>4.3</v>
      </c>
      <c r="B19" s="9">
        <v>61</v>
      </c>
    </row>
    <row r="20" spans="1:2" x14ac:dyDescent="0.25">
      <c r="A20" s="8">
        <v>4.4000000000000004</v>
      </c>
      <c r="B20" s="9">
        <v>14</v>
      </c>
    </row>
    <row r="21" spans="1:2" x14ac:dyDescent="0.25">
      <c r="A21" s="8">
        <v>4.5</v>
      </c>
      <c r="B21" s="9">
        <v>42</v>
      </c>
    </row>
    <row r="22" spans="1:2" x14ac:dyDescent="0.25">
      <c r="A22" s="8">
        <v>4.5999999999999996</v>
      </c>
      <c r="B22" s="9">
        <v>177</v>
      </c>
    </row>
    <row r="23" spans="1:2" x14ac:dyDescent="0.25">
      <c r="A23" s="8">
        <v>4.7</v>
      </c>
      <c r="B23" s="9">
        <v>78</v>
      </c>
    </row>
    <row r="24" spans="1:2" x14ac:dyDescent="0.25">
      <c r="A24" s="8">
        <v>4.8</v>
      </c>
      <c r="B24" s="9">
        <v>22</v>
      </c>
    </row>
    <row r="25" spans="1:2" x14ac:dyDescent="0.25">
      <c r="A25" s="8">
        <v>5</v>
      </c>
      <c r="B25" s="9">
        <v>12</v>
      </c>
    </row>
    <row r="26" spans="1:2" x14ac:dyDescent="0.25">
      <c r="A26" s="8" t="s">
        <v>354</v>
      </c>
      <c r="B26" s="9">
        <v>0</v>
      </c>
    </row>
    <row r="27" spans="1:2" x14ac:dyDescent="0.25">
      <c r="A27" s="8" t="s">
        <v>330</v>
      </c>
      <c r="B27" s="9">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H18" sqref="H18"/>
    </sheetView>
  </sheetViews>
  <sheetFormatPr defaultRowHeight="15" x14ac:dyDescent="0.25"/>
  <cols>
    <col min="1" max="1" width="13.140625" customWidth="1"/>
    <col min="2" max="2" width="16.7109375" customWidth="1"/>
    <col min="3" max="3" width="19" style="6" customWidth="1"/>
    <col min="4" max="4" width="26.85546875" bestFit="1" customWidth="1"/>
  </cols>
  <sheetData>
    <row r="3" spans="1:4" x14ac:dyDescent="0.25">
      <c r="A3" s="7" t="s">
        <v>329</v>
      </c>
      <c r="B3" t="s">
        <v>334</v>
      </c>
      <c r="C3" s="6" t="s">
        <v>335</v>
      </c>
      <c r="D3" t="s">
        <v>336</v>
      </c>
    </row>
    <row r="4" spans="1:4" x14ac:dyDescent="0.25">
      <c r="A4" s="8" t="s">
        <v>331</v>
      </c>
      <c r="B4" s="9">
        <v>3.6133333333333324</v>
      </c>
      <c r="C4" s="6">
        <v>0.48203389830508458</v>
      </c>
      <c r="D4" s="9">
        <v>719</v>
      </c>
    </row>
    <row r="5" spans="1:4" x14ac:dyDescent="0.25">
      <c r="A5" s="8" t="s">
        <v>332</v>
      </c>
      <c r="B5" s="9">
        <v>3.7249999999999996</v>
      </c>
      <c r="C5" s="6">
        <v>7.2222222222222243E-2</v>
      </c>
      <c r="D5" s="9">
        <v>175.66666666666666</v>
      </c>
    </row>
    <row r="6" spans="1:4" x14ac:dyDescent="0.25">
      <c r="A6" s="8" t="s">
        <v>333</v>
      </c>
      <c r="B6" s="9">
        <v>4.2782608695652184</v>
      </c>
      <c r="C6" s="6">
        <v>0.30999999999999994</v>
      </c>
      <c r="D6" s="9">
        <v>719.75</v>
      </c>
    </row>
    <row r="7" spans="1:4" x14ac:dyDescent="0.25">
      <c r="A7" s="8" t="s">
        <v>330</v>
      </c>
      <c r="B7" s="9">
        <v>3.8894736842105253</v>
      </c>
      <c r="C7" s="6">
        <v>0.36385321100917439</v>
      </c>
      <c r="D7" s="9">
        <v>629.49541284403665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1"/>
  <sheetViews>
    <sheetView workbookViewId="0">
      <selection activeCell="H22" sqref="H22"/>
    </sheetView>
  </sheetViews>
  <sheetFormatPr defaultRowHeight="15" x14ac:dyDescent="0.25"/>
  <cols>
    <col min="1" max="1" width="22.5703125" style="6" bestFit="1" customWidth="1"/>
    <col min="2" max="2" width="15.7109375" bestFit="1" customWidth="1"/>
    <col min="3" max="3" width="14.28515625" bestFit="1" customWidth="1"/>
  </cols>
  <sheetData>
    <row r="3" spans="1:2" x14ac:dyDescent="0.25">
      <c r="A3" s="11" t="s">
        <v>350</v>
      </c>
      <c r="B3" t="s">
        <v>342</v>
      </c>
    </row>
    <row r="4" spans="1:2" x14ac:dyDescent="0.25">
      <c r="A4" s="10" t="s">
        <v>343</v>
      </c>
      <c r="B4" s="9">
        <v>12</v>
      </c>
    </row>
    <row r="5" spans="1:2" x14ac:dyDescent="0.25">
      <c r="A5" s="10" t="s">
        <v>344</v>
      </c>
      <c r="B5" s="9">
        <v>7</v>
      </c>
    </row>
    <row r="6" spans="1:2" x14ac:dyDescent="0.25">
      <c r="A6" s="10" t="s">
        <v>345</v>
      </c>
      <c r="B6" s="9">
        <v>13</v>
      </c>
    </row>
    <row r="7" spans="1:2" x14ac:dyDescent="0.25">
      <c r="A7" s="10" t="s">
        <v>346</v>
      </c>
      <c r="B7" s="9">
        <v>19</v>
      </c>
    </row>
    <row r="8" spans="1:2" x14ac:dyDescent="0.25">
      <c r="A8" s="10" t="s">
        <v>347</v>
      </c>
      <c r="B8" s="9">
        <v>48</v>
      </c>
    </row>
    <row r="9" spans="1:2" x14ac:dyDescent="0.25">
      <c r="A9" s="10" t="s">
        <v>348</v>
      </c>
      <c r="B9" s="9">
        <v>9</v>
      </c>
    </row>
    <row r="10" spans="1:2" x14ac:dyDescent="0.25">
      <c r="A10" s="10" t="s">
        <v>349</v>
      </c>
      <c r="B10" s="9">
        <v>2</v>
      </c>
    </row>
    <row r="11" spans="1:2" x14ac:dyDescent="0.25">
      <c r="A11" s="10" t="s">
        <v>330</v>
      </c>
      <c r="B11" s="9">
        <v>110</v>
      </c>
    </row>
    <row r="12" spans="1:2" x14ac:dyDescent="0.25">
      <c r="A12"/>
    </row>
    <row r="14" spans="1:2" x14ac:dyDescent="0.25">
      <c r="A14"/>
    </row>
    <row r="15" spans="1:2" x14ac:dyDescent="0.25">
      <c r="A15"/>
    </row>
    <row r="16" spans="1:2" x14ac:dyDescent="0.25">
      <c r="A16"/>
    </row>
    <row r="17" spans="1:1" x14ac:dyDescent="0.25">
      <c r="A17"/>
    </row>
    <row r="18" spans="1:1" x14ac:dyDescent="0.25">
      <c r="A18"/>
    </row>
    <row r="19" spans="1:1" x14ac:dyDescent="0.25">
      <c r="A19"/>
    </row>
    <row r="20" spans="1:1" x14ac:dyDescent="0.25">
      <c r="A20"/>
    </row>
    <row r="21" spans="1:1" x14ac:dyDescent="0.25">
      <c r="A21"/>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8" sqref="B8"/>
    </sheetView>
  </sheetViews>
  <sheetFormatPr defaultRowHeight="15" x14ac:dyDescent="0.25"/>
  <cols>
    <col min="1" max="1" width="13.140625" customWidth="1"/>
    <col min="2" max="2" width="16" style="9" bestFit="1" customWidth="1"/>
  </cols>
  <sheetData>
    <row r="3" spans="1:2" x14ac:dyDescent="0.25">
      <c r="A3" s="7" t="s">
        <v>329</v>
      </c>
      <c r="B3" t="s">
        <v>341</v>
      </c>
    </row>
    <row r="4" spans="1:2" x14ac:dyDescent="0.25">
      <c r="A4" s="8" t="s">
        <v>337</v>
      </c>
      <c r="B4" s="9">
        <v>22</v>
      </c>
    </row>
    <row r="5" spans="1:2" x14ac:dyDescent="0.25">
      <c r="A5" s="8" t="s">
        <v>338</v>
      </c>
      <c r="B5" s="9">
        <v>23</v>
      </c>
    </row>
    <row r="6" spans="1:2" x14ac:dyDescent="0.25">
      <c r="A6" s="8" t="s">
        <v>339</v>
      </c>
      <c r="B6" s="9">
        <v>52</v>
      </c>
    </row>
    <row r="7" spans="1:2" x14ac:dyDescent="0.25">
      <c r="A7" s="8" t="s">
        <v>340</v>
      </c>
      <c r="B7" s="9">
        <v>12</v>
      </c>
    </row>
    <row r="8" spans="1:2" x14ac:dyDescent="0.25">
      <c r="A8" s="8" t="s">
        <v>330</v>
      </c>
      <c r="B8" s="9">
        <v>109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U22" sqref="U22"/>
    </sheetView>
  </sheetViews>
  <sheetFormatPr defaultRowHeight="15" x14ac:dyDescent="0.25"/>
  <cols>
    <col min="1" max="16384" width="9.140625" style="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2"/>
  <sheetViews>
    <sheetView workbookViewId="0">
      <selection activeCell="B2" sqref="B2"/>
    </sheetView>
  </sheetViews>
  <sheetFormatPr defaultRowHeight="15" x14ac:dyDescent="0.25"/>
  <cols>
    <col min="1" max="1" width="45.7109375" customWidth="1"/>
    <col min="2" max="2" width="18.7109375" bestFit="1" customWidth="1"/>
  </cols>
  <sheetData>
    <row r="1" spans="1:2" x14ac:dyDescent="0.25">
      <c r="A1" s="2" t="s">
        <v>0</v>
      </c>
      <c r="B1" s="2" t="s">
        <v>325</v>
      </c>
    </row>
    <row r="2" spans="1:2" x14ac:dyDescent="0.25">
      <c r="A2" t="s">
        <v>190</v>
      </c>
      <c r="B2" s="3">
        <v>2585</v>
      </c>
    </row>
    <row r="3" spans="1:2" x14ac:dyDescent="0.25">
      <c r="A3" t="s">
        <v>85</v>
      </c>
      <c r="B3" s="3">
        <v>2452</v>
      </c>
    </row>
    <row r="4" spans="1:2" x14ac:dyDescent="0.25">
      <c r="A4" t="s">
        <v>212</v>
      </c>
      <c r="B4" s="3">
        <v>2393</v>
      </c>
    </row>
    <row r="5" spans="1:2" x14ac:dyDescent="0.25">
      <c r="A5" t="s">
        <v>63</v>
      </c>
      <c r="B5" s="3">
        <v>1946</v>
      </c>
    </row>
    <row r="6" spans="1:2" x14ac:dyDescent="0.25">
      <c r="A6" t="s">
        <v>99</v>
      </c>
      <c r="B6" s="3">
        <v>1880</v>
      </c>
    </row>
    <row r="7" spans="1:2" x14ac:dyDescent="0.25">
      <c r="A7" t="s">
        <v>128</v>
      </c>
      <c r="B7" s="3">
        <v>1721</v>
      </c>
    </row>
    <row r="8" spans="1:2" x14ac:dyDescent="0.25">
      <c r="A8" t="s">
        <v>108</v>
      </c>
      <c r="B8" s="3">
        <v>1670</v>
      </c>
    </row>
    <row r="9" spans="1:2" x14ac:dyDescent="0.25">
      <c r="A9" t="s">
        <v>35</v>
      </c>
      <c r="B9" s="3">
        <v>1526</v>
      </c>
    </row>
    <row r="10" spans="1:2" x14ac:dyDescent="0.25">
      <c r="A10" t="s">
        <v>229</v>
      </c>
      <c r="B10" s="3">
        <v>1418</v>
      </c>
    </row>
    <row r="11" spans="1:2" x14ac:dyDescent="0.25">
      <c r="A11" t="s">
        <v>75</v>
      </c>
      <c r="B11" s="3">
        <v>1360</v>
      </c>
    </row>
    <row r="12" spans="1:2" x14ac:dyDescent="0.25">
      <c r="B12" s="3"/>
    </row>
    <row r="13" spans="1:2" x14ac:dyDescent="0.25">
      <c r="B13" s="3"/>
    </row>
    <row r="14" spans="1:2" x14ac:dyDescent="0.25">
      <c r="B14" s="3"/>
    </row>
    <row r="15" spans="1:2" x14ac:dyDescent="0.25">
      <c r="B15" s="3"/>
    </row>
    <row r="16" spans="1:2" x14ac:dyDescent="0.25">
      <c r="B16" s="3"/>
    </row>
    <row r="17" spans="2:2" x14ac:dyDescent="0.25">
      <c r="B17" s="3"/>
    </row>
    <row r="18" spans="2:2" x14ac:dyDescent="0.25">
      <c r="B18" s="3"/>
    </row>
    <row r="19" spans="2:2" x14ac:dyDescent="0.25">
      <c r="B19" s="3"/>
    </row>
    <row r="20" spans="2:2" x14ac:dyDescent="0.25">
      <c r="B20" s="3"/>
    </row>
    <row r="21" spans="2:2" x14ac:dyDescent="0.25">
      <c r="B21" s="3"/>
    </row>
    <row r="22" spans="2:2" x14ac:dyDescent="0.25">
      <c r="B22" s="3"/>
    </row>
    <row r="23" spans="2:2" x14ac:dyDescent="0.25">
      <c r="B23" s="3"/>
    </row>
    <row r="24" spans="2:2" x14ac:dyDescent="0.25">
      <c r="B24" s="3"/>
    </row>
    <row r="25" spans="2:2" x14ac:dyDescent="0.25">
      <c r="B25" s="3"/>
    </row>
    <row r="26" spans="2:2" x14ac:dyDescent="0.25">
      <c r="B26" s="3"/>
    </row>
    <row r="27" spans="2:2" x14ac:dyDescent="0.25">
      <c r="B27" s="3"/>
    </row>
    <row r="28" spans="2:2" x14ac:dyDescent="0.25">
      <c r="B28" s="3"/>
    </row>
    <row r="29" spans="2:2" x14ac:dyDescent="0.25">
      <c r="B29" s="3"/>
    </row>
    <row r="30" spans="2:2" x14ac:dyDescent="0.25">
      <c r="B30" s="3"/>
    </row>
    <row r="31" spans="2:2" x14ac:dyDescent="0.25">
      <c r="B31" s="3"/>
    </row>
    <row r="32" spans="2:2" x14ac:dyDescent="0.25">
      <c r="B32" s="3"/>
    </row>
    <row r="33" spans="2:2" x14ac:dyDescent="0.25">
      <c r="B33" s="3"/>
    </row>
    <row r="34" spans="2:2" x14ac:dyDescent="0.25">
      <c r="B34" s="3"/>
    </row>
    <row r="35" spans="2:2" x14ac:dyDescent="0.25">
      <c r="B35" s="3"/>
    </row>
    <row r="36" spans="2:2" x14ac:dyDescent="0.25">
      <c r="B36" s="3"/>
    </row>
    <row r="37" spans="2:2" x14ac:dyDescent="0.25">
      <c r="B37" s="3"/>
    </row>
    <row r="38" spans="2:2" x14ac:dyDescent="0.25">
      <c r="B38" s="3"/>
    </row>
    <row r="39" spans="2:2" x14ac:dyDescent="0.25">
      <c r="B39" s="3"/>
    </row>
    <row r="40" spans="2:2" x14ac:dyDescent="0.25">
      <c r="B40" s="3"/>
    </row>
    <row r="41" spans="2:2" x14ac:dyDescent="0.25">
      <c r="B41" s="3"/>
    </row>
    <row r="42" spans="2:2" x14ac:dyDescent="0.25">
      <c r="B42" s="3"/>
    </row>
    <row r="43" spans="2:2" x14ac:dyDescent="0.25">
      <c r="B43" s="3"/>
    </row>
    <row r="44" spans="2:2" x14ac:dyDescent="0.25">
      <c r="B44" s="3"/>
    </row>
    <row r="45" spans="2:2" x14ac:dyDescent="0.25">
      <c r="B45" s="3"/>
    </row>
    <row r="46" spans="2:2" x14ac:dyDescent="0.25">
      <c r="B46" s="3"/>
    </row>
    <row r="47" spans="2:2" x14ac:dyDescent="0.25">
      <c r="B47" s="3"/>
    </row>
    <row r="48" spans="2:2" x14ac:dyDescent="0.25">
      <c r="B48" s="3"/>
    </row>
    <row r="49" spans="2:2" x14ac:dyDescent="0.25">
      <c r="B49" s="3"/>
    </row>
    <row r="50" spans="2:2" x14ac:dyDescent="0.25">
      <c r="B50" s="3"/>
    </row>
    <row r="51" spans="2:2" x14ac:dyDescent="0.25">
      <c r="B51" s="3"/>
    </row>
    <row r="52" spans="2:2" x14ac:dyDescent="0.25">
      <c r="B52" s="3"/>
    </row>
    <row r="53" spans="2:2" x14ac:dyDescent="0.25">
      <c r="B53" s="3"/>
    </row>
    <row r="54" spans="2:2" x14ac:dyDescent="0.25">
      <c r="B54" s="3"/>
    </row>
    <row r="55" spans="2:2" x14ac:dyDescent="0.25">
      <c r="B55" s="3"/>
    </row>
    <row r="56" spans="2:2" x14ac:dyDescent="0.25">
      <c r="B56" s="3"/>
    </row>
    <row r="57" spans="2:2" x14ac:dyDescent="0.25">
      <c r="B57" s="3"/>
    </row>
    <row r="58" spans="2:2" x14ac:dyDescent="0.25">
      <c r="B58" s="3"/>
    </row>
    <row r="59" spans="2:2" x14ac:dyDescent="0.25">
      <c r="B59" s="3"/>
    </row>
    <row r="60" spans="2:2" x14ac:dyDescent="0.25">
      <c r="B60" s="3"/>
    </row>
    <row r="61" spans="2:2" x14ac:dyDescent="0.25">
      <c r="B61" s="3"/>
    </row>
    <row r="62" spans="2:2" x14ac:dyDescent="0.25">
      <c r="B62" s="3"/>
    </row>
    <row r="63" spans="2:2" x14ac:dyDescent="0.25">
      <c r="B63" s="3"/>
    </row>
    <row r="64" spans="2:2" x14ac:dyDescent="0.25">
      <c r="B64" s="3"/>
    </row>
    <row r="65" spans="2:2" x14ac:dyDescent="0.25">
      <c r="B65" s="3"/>
    </row>
    <row r="66" spans="2:2" x14ac:dyDescent="0.25">
      <c r="B66" s="3"/>
    </row>
    <row r="67" spans="2:2" x14ac:dyDescent="0.25">
      <c r="B67" s="3"/>
    </row>
    <row r="68" spans="2:2" x14ac:dyDescent="0.25">
      <c r="B68" s="3"/>
    </row>
    <row r="69" spans="2:2" x14ac:dyDescent="0.25">
      <c r="B69" s="3"/>
    </row>
    <row r="70" spans="2:2" x14ac:dyDescent="0.25">
      <c r="B70" s="3"/>
    </row>
    <row r="71" spans="2:2" x14ac:dyDescent="0.25">
      <c r="B71" s="3"/>
    </row>
    <row r="72" spans="2:2" x14ac:dyDescent="0.25">
      <c r="B72" s="3"/>
    </row>
    <row r="73" spans="2:2" x14ac:dyDescent="0.25">
      <c r="B73" s="3"/>
    </row>
    <row r="74" spans="2:2" x14ac:dyDescent="0.25">
      <c r="B74" s="3"/>
    </row>
    <row r="75" spans="2:2" x14ac:dyDescent="0.25">
      <c r="B75" s="3"/>
    </row>
    <row r="76" spans="2:2" x14ac:dyDescent="0.25">
      <c r="B76" s="3"/>
    </row>
    <row r="77" spans="2:2" x14ac:dyDescent="0.25">
      <c r="B77" s="3"/>
    </row>
    <row r="78" spans="2:2" x14ac:dyDescent="0.25">
      <c r="B78" s="3"/>
    </row>
    <row r="79" spans="2:2" x14ac:dyDescent="0.25">
      <c r="B79" s="3"/>
    </row>
    <row r="80" spans="2:2" x14ac:dyDescent="0.25">
      <c r="B80" s="3"/>
    </row>
    <row r="81" spans="2:2" x14ac:dyDescent="0.25">
      <c r="B81" s="3"/>
    </row>
    <row r="82" spans="2:2" x14ac:dyDescent="0.25">
      <c r="B82" s="3"/>
    </row>
    <row r="83" spans="2:2" x14ac:dyDescent="0.25">
      <c r="B83" s="3"/>
    </row>
    <row r="84" spans="2:2" x14ac:dyDescent="0.25">
      <c r="B84" s="3"/>
    </row>
    <row r="85" spans="2:2" x14ac:dyDescent="0.25">
      <c r="B85" s="3"/>
    </row>
    <row r="86" spans="2:2" x14ac:dyDescent="0.25">
      <c r="B86" s="3"/>
    </row>
    <row r="87" spans="2:2" x14ac:dyDescent="0.25">
      <c r="B87" s="3"/>
    </row>
    <row r="88" spans="2:2" x14ac:dyDescent="0.25">
      <c r="B88" s="3"/>
    </row>
    <row r="89" spans="2:2" x14ac:dyDescent="0.25">
      <c r="B89" s="3"/>
    </row>
    <row r="90" spans="2:2" x14ac:dyDescent="0.25">
      <c r="B90" s="3"/>
    </row>
    <row r="91" spans="2:2" x14ac:dyDescent="0.25">
      <c r="B91" s="3"/>
    </row>
    <row r="92" spans="2:2" x14ac:dyDescent="0.25">
      <c r="B92" s="3"/>
    </row>
    <row r="93" spans="2:2" x14ac:dyDescent="0.25">
      <c r="B93" s="3"/>
    </row>
    <row r="94" spans="2:2" x14ac:dyDescent="0.25">
      <c r="B94" s="3"/>
    </row>
    <row r="95" spans="2:2" x14ac:dyDescent="0.25">
      <c r="B95" s="3"/>
    </row>
    <row r="96" spans="2:2" x14ac:dyDescent="0.25">
      <c r="B96" s="3"/>
    </row>
    <row r="97" spans="2:2" x14ac:dyDescent="0.25">
      <c r="B97" s="3"/>
    </row>
    <row r="98" spans="2:2" x14ac:dyDescent="0.25">
      <c r="B98" s="3"/>
    </row>
    <row r="99" spans="2:2" x14ac:dyDescent="0.25">
      <c r="B99" s="3"/>
    </row>
    <row r="100" spans="2:2" x14ac:dyDescent="0.25">
      <c r="B100" s="3"/>
    </row>
    <row r="101" spans="2:2" x14ac:dyDescent="0.25">
      <c r="B101" s="3"/>
    </row>
    <row r="102" spans="2:2" x14ac:dyDescent="0.25">
      <c r="B102" s="3"/>
    </row>
    <row r="103" spans="2:2" x14ac:dyDescent="0.25">
      <c r="B103" s="3"/>
    </row>
    <row r="104" spans="2:2" x14ac:dyDescent="0.25">
      <c r="B104" s="3"/>
    </row>
    <row r="105" spans="2:2" x14ac:dyDescent="0.25">
      <c r="B105" s="3"/>
    </row>
    <row r="106" spans="2:2" x14ac:dyDescent="0.25">
      <c r="B106" s="3"/>
    </row>
    <row r="107" spans="2:2" x14ac:dyDescent="0.25">
      <c r="B107" s="3"/>
    </row>
    <row r="108" spans="2:2" x14ac:dyDescent="0.25">
      <c r="B108" s="3"/>
    </row>
    <row r="109" spans="2:2" x14ac:dyDescent="0.25">
      <c r="B109" s="3"/>
    </row>
    <row r="110" spans="2:2" x14ac:dyDescent="0.25">
      <c r="B110" s="3"/>
    </row>
    <row r="111" spans="2:2" x14ac:dyDescent="0.25">
      <c r="B111" s="3"/>
    </row>
    <row r="112" spans="2:2" x14ac:dyDescent="0.25">
      <c r="B112" s="3"/>
    </row>
  </sheetData>
  <conditionalFormatting sqref="A115:A1048576">
    <cfRule type="duplicateValues" dxfId="4" priority="4"/>
  </conditionalFormatting>
  <conditionalFormatting sqref="A1:B110">
    <cfRule type="top10" dxfId="3" priority="3" rank="10"/>
  </conditionalFormatting>
  <conditionalFormatting sqref="B1:B1048576">
    <cfRule type="top10" dxfId="2" priority="1" rank="10"/>
    <cfRule type="top10" dxfId="1" priority="2" rank="10"/>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E7" sqref="E7"/>
    </sheetView>
  </sheetViews>
  <sheetFormatPr defaultRowHeight="15" x14ac:dyDescent="0.25"/>
  <cols>
    <col min="1" max="1" width="45.7109375" customWidth="1"/>
    <col min="2" max="2" width="9.85546875" style="5" bestFit="1" customWidth="1"/>
  </cols>
  <sheetData>
    <row r="1" spans="1:2" x14ac:dyDescent="0.25">
      <c r="A1" s="2" t="s">
        <v>0</v>
      </c>
      <c r="B1" s="4" t="s">
        <v>4</v>
      </c>
    </row>
    <row r="2" spans="1:2" x14ac:dyDescent="0.25">
      <c r="A2" t="s">
        <v>194</v>
      </c>
      <c r="B2" s="5">
        <v>69</v>
      </c>
    </row>
    <row r="3" spans="1:2" x14ac:dyDescent="0.25">
      <c r="A3" t="s">
        <v>30</v>
      </c>
      <c r="B3" s="5">
        <v>55</v>
      </c>
    </row>
    <row r="4" spans="1:2" x14ac:dyDescent="0.25">
      <c r="A4" t="s">
        <v>89</v>
      </c>
      <c r="B4" s="5">
        <v>49</v>
      </c>
    </row>
    <row r="5" spans="1:2" x14ac:dyDescent="0.25">
      <c r="A5" t="s">
        <v>68</v>
      </c>
      <c r="B5" s="5">
        <v>44</v>
      </c>
    </row>
    <row r="6" spans="1:2" x14ac:dyDescent="0.25">
      <c r="A6" t="s">
        <v>44</v>
      </c>
      <c r="B6" s="5">
        <v>39</v>
      </c>
    </row>
    <row r="7" spans="1:2" x14ac:dyDescent="0.25">
      <c r="A7" t="s">
        <v>122</v>
      </c>
      <c r="B7" s="5">
        <v>36</v>
      </c>
    </row>
    <row r="8" spans="1:2" x14ac:dyDescent="0.25">
      <c r="A8" t="s">
        <v>114</v>
      </c>
      <c r="B8" s="5">
        <v>32</v>
      </c>
    </row>
    <row r="9" spans="1:2" x14ac:dyDescent="0.25">
      <c r="A9" t="s">
        <v>14</v>
      </c>
      <c r="B9" s="5">
        <v>24</v>
      </c>
    </row>
    <row r="10" spans="1:2" x14ac:dyDescent="0.25">
      <c r="A10" t="s">
        <v>97</v>
      </c>
      <c r="B10" s="5">
        <v>20</v>
      </c>
    </row>
    <row r="11" spans="1:2" x14ac:dyDescent="0.25">
      <c r="A11" t="s">
        <v>111</v>
      </c>
      <c r="B11" s="5">
        <v>20</v>
      </c>
    </row>
  </sheetData>
  <conditionalFormatting sqref="B1:B1048576">
    <cfRule type="top10" dxfId="0" priority="1" rank="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Original</vt:lpstr>
      <vt:lpstr>Excel_jumia (2)</vt:lpstr>
      <vt:lpstr>Excel_jumia</vt:lpstr>
      <vt:lpstr>Reviews by rating</vt:lpstr>
      <vt:lpstr>Averages</vt:lpstr>
      <vt:lpstr>Effect of Discount on Reviews</vt:lpstr>
      <vt:lpstr>Rating Breakdown</vt:lpstr>
      <vt:lpstr>Dashboard</vt:lpstr>
      <vt:lpstr>Highest Discounted Products</vt:lpstr>
      <vt:lpstr>Most reviewed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2026-01-30T19:19:57Z</dcterms:created>
  <dcterms:modified xsi:type="dcterms:W3CDTF">2026-01-30T21:40:09Z</dcterms:modified>
</cp:coreProperties>
</file>